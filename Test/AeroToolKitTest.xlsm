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25135AFD-6A71-470A-B896-BECCA3A5F5FC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SampleTest!$A$197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A187" i="1" l="1"/>
  <c r="C193" i="1"/>
  <c r="C192" i="1"/>
  <c r="C191" i="1"/>
  <c r="C190" i="1"/>
  <c r="C189" i="1"/>
  <c r="C188" i="1"/>
  <c r="C187" i="1"/>
  <c r="C186" i="1"/>
  <c r="C185" i="1"/>
  <c r="C184" i="1"/>
  <c r="C183" i="1"/>
  <c r="C182" i="1"/>
  <c r="A183" i="1"/>
  <c r="A181" i="1"/>
  <c r="E189" i="1" l="1"/>
  <c r="E188" i="1"/>
  <c r="E185" i="1"/>
  <c r="E184" i="1"/>
  <c r="E193" i="1"/>
  <c r="E192" i="1"/>
  <c r="E191" i="1"/>
  <c r="E190" i="1"/>
  <c r="E182" i="1"/>
  <c r="E183" i="1"/>
  <c r="E186" i="1"/>
  <c r="E187" i="1"/>
  <c r="D350" i="1"/>
  <c r="D343" i="1"/>
  <c r="D336" i="1"/>
  <c r="D321" i="1"/>
  <c r="D314" i="1"/>
  <c r="D307" i="1"/>
  <c r="C350" i="1"/>
  <c r="C341" i="1"/>
  <c r="C331" i="1"/>
  <c r="C322" i="1"/>
  <c r="C313" i="1"/>
  <c r="C306" i="1"/>
  <c r="C349" i="1"/>
  <c r="C340" i="1"/>
  <c r="C330" i="1"/>
  <c r="C321" i="1"/>
  <c r="C312" i="1"/>
  <c r="C334" i="1"/>
  <c r="C348" i="1"/>
  <c r="C338" i="1"/>
  <c r="C329" i="1"/>
  <c r="C320" i="1"/>
  <c r="C310" i="1"/>
  <c r="C315" i="1"/>
  <c r="C347" i="1"/>
  <c r="C337" i="1"/>
  <c r="C328" i="1"/>
  <c r="C319" i="1"/>
  <c r="C309" i="1"/>
  <c r="C324" i="1"/>
  <c r="C345" i="1"/>
  <c r="C336" i="1"/>
  <c r="C327" i="1"/>
  <c r="C317" i="1"/>
  <c r="C308" i="1"/>
  <c r="C343" i="1"/>
  <c r="C344" i="1"/>
  <c r="C335" i="1"/>
  <c r="C326" i="1"/>
  <c r="C316" i="1"/>
  <c r="C307" i="1"/>
  <c r="C352" i="1"/>
  <c r="C351" i="1"/>
  <c r="C342" i="1"/>
  <c r="C333" i="1"/>
  <c r="C323" i="1"/>
  <c r="C314" i="1"/>
  <c r="C305" i="1"/>
  <c r="E352" i="1" l="1"/>
  <c r="E351" i="1"/>
  <c r="E350" i="1"/>
  <c r="E349" i="1"/>
  <c r="E348" i="1"/>
  <c r="E347" i="1"/>
  <c r="E345" i="1"/>
  <c r="E344" i="1"/>
  <c r="E343" i="1"/>
  <c r="E342" i="1"/>
  <c r="E341" i="1"/>
  <c r="E340" i="1"/>
  <c r="E338" i="1"/>
  <c r="E337" i="1"/>
  <c r="E336" i="1"/>
  <c r="E335" i="1"/>
  <c r="E334" i="1"/>
  <c r="E333" i="1"/>
  <c r="E331" i="1"/>
  <c r="E330" i="1"/>
  <c r="E329" i="1"/>
  <c r="E328" i="1"/>
  <c r="E327" i="1"/>
  <c r="E326" i="1"/>
  <c r="E324" i="1"/>
  <c r="E323" i="1"/>
  <c r="E322" i="1"/>
  <c r="E321" i="1"/>
  <c r="E320" i="1"/>
  <c r="E319" i="1"/>
  <c r="E317" i="1"/>
  <c r="E316" i="1"/>
  <c r="E315" i="1"/>
  <c r="E314" i="1"/>
  <c r="E313" i="1"/>
  <c r="E312" i="1"/>
  <c r="E310" i="1"/>
  <c r="E309" i="1"/>
  <c r="E308" i="1"/>
  <c r="E307" i="1"/>
  <c r="E306" i="1"/>
  <c r="E305" i="1"/>
  <c r="D303" i="1"/>
  <c r="D302" i="1"/>
  <c r="D299" i="1"/>
  <c r="D296" i="1"/>
  <c r="D294" i="1"/>
  <c r="D300" i="1" s="1"/>
  <c r="C292" i="1"/>
  <c r="C299" i="1"/>
  <c r="C297" i="1"/>
  <c r="C295" i="1"/>
  <c r="C300" i="1"/>
  <c r="C302" i="1"/>
  <c r="C301" i="1"/>
  <c r="C298" i="1"/>
  <c r="C293" i="1"/>
  <c r="C296" i="1"/>
  <c r="C303" i="1"/>
  <c r="C294" i="1"/>
  <c r="D297" i="1" l="1"/>
  <c r="E297" i="1" s="1"/>
  <c r="E303" i="1"/>
  <c r="E302" i="1"/>
  <c r="E301" i="1"/>
  <c r="E300" i="1"/>
  <c r="E299" i="1"/>
  <c r="E298" i="1"/>
  <c r="E296" i="1"/>
  <c r="E295" i="1"/>
  <c r="E294" i="1"/>
  <c r="E293" i="1"/>
  <c r="E292" i="1"/>
  <c r="D290" i="1"/>
  <c r="D289" i="1"/>
  <c r="D287" i="1"/>
  <c r="D286" i="1"/>
  <c r="D288" i="1" s="1"/>
  <c r="D283" i="1"/>
  <c r="D279" i="1"/>
  <c r="D281" i="1" s="1"/>
  <c r="C278" i="1"/>
  <c r="C287" i="1"/>
  <c r="C282" i="1"/>
  <c r="C290" i="1"/>
  <c r="C288" i="1"/>
  <c r="C289" i="1"/>
  <c r="C283" i="1"/>
  <c r="C281" i="1"/>
  <c r="C280" i="1"/>
  <c r="C279" i="1"/>
  <c r="C286" i="1"/>
  <c r="C285" i="1"/>
  <c r="E286" i="1" l="1"/>
  <c r="E285" i="1"/>
  <c r="E290" i="1"/>
  <c r="E289" i="1"/>
  <c r="E288" i="1"/>
  <c r="E287" i="1"/>
  <c r="E278" i="1"/>
  <c r="E283" i="1"/>
  <c r="E282" i="1"/>
  <c r="E281" i="1"/>
  <c r="E280" i="1"/>
  <c r="E279" i="1"/>
  <c r="D251" i="1"/>
  <c r="D248" i="1"/>
  <c r="D254" i="1"/>
  <c r="D273" i="1"/>
  <c r="D269" i="1"/>
  <c r="C144" i="1"/>
  <c r="C272" i="1"/>
  <c r="AM102" i="1"/>
  <c r="I84" i="1"/>
  <c r="AA175" i="1"/>
  <c r="AG10" i="1"/>
  <c r="C57" i="1"/>
  <c r="AM15" i="1"/>
  <c r="AG15" i="1"/>
  <c r="O174" i="1"/>
  <c r="A275" i="1"/>
  <c r="C271" i="1"/>
  <c r="C207" i="1"/>
  <c r="AM17" i="1"/>
  <c r="C19" i="1"/>
  <c r="C35" i="1"/>
  <c r="C250" i="1"/>
  <c r="I175" i="1"/>
  <c r="C257" i="1"/>
  <c r="U175" i="1"/>
  <c r="C246" i="1"/>
  <c r="C221" i="1"/>
  <c r="AG174" i="1"/>
  <c r="C211" i="1"/>
  <c r="C225" i="1"/>
  <c r="C61" i="1"/>
  <c r="AM9" i="1"/>
  <c r="AM10" i="1"/>
  <c r="C43" i="1"/>
  <c r="C175" i="1"/>
  <c r="AM14" i="1"/>
  <c r="C53" i="1"/>
  <c r="C10" i="1"/>
  <c r="C235" i="1"/>
  <c r="C25" i="1"/>
  <c r="C32" i="1"/>
  <c r="C265" i="1"/>
  <c r="C215" i="1"/>
  <c r="C223" i="1"/>
  <c r="I80" i="1"/>
  <c r="AM12" i="1"/>
  <c r="AM24" i="1"/>
  <c r="AM16" i="1"/>
  <c r="C273" i="1"/>
  <c r="C204" i="1"/>
  <c r="C234" i="1"/>
  <c r="C205" i="1"/>
  <c r="C91" i="1"/>
  <c r="C24" i="1"/>
  <c r="C72" i="1"/>
  <c r="O8" i="1"/>
  <c r="C220" i="1"/>
  <c r="C270" i="1"/>
  <c r="C75" i="1"/>
  <c r="C243" i="1"/>
  <c r="O12" i="1"/>
  <c r="AG14" i="1"/>
  <c r="C202" i="1"/>
  <c r="C232" i="1"/>
  <c r="C40" i="1"/>
  <c r="C261" i="1"/>
  <c r="C259" i="1"/>
  <c r="I83" i="1"/>
  <c r="C209" i="1"/>
  <c r="AG24" i="1"/>
  <c r="C102" i="1"/>
  <c r="AM13" i="1"/>
  <c r="C239" i="1"/>
  <c r="C227" i="1"/>
  <c r="C37" i="1"/>
  <c r="C60" i="1"/>
  <c r="C89" i="1"/>
  <c r="C48" i="1"/>
  <c r="C17" i="1"/>
  <c r="C38" i="1"/>
  <c r="C249" i="1"/>
  <c r="C233" i="1"/>
  <c r="C56" i="1"/>
  <c r="O16" i="1"/>
  <c r="G7" i="1"/>
  <c r="C252" i="1"/>
  <c r="I60" i="1"/>
  <c r="C7" i="1"/>
  <c r="C52" i="1"/>
  <c r="C174" i="1"/>
  <c r="C11" i="1"/>
  <c r="O17" i="1"/>
  <c r="C199" i="1"/>
  <c r="AG25" i="1"/>
  <c r="I24" i="1"/>
  <c r="C212" i="1"/>
  <c r="I21" i="1"/>
  <c r="C269" i="1"/>
  <c r="C73" i="1"/>
  <c r="O9" i="1"/>
  <c r="O14" i="1"/>
  <c r="C118" i="1"/>
  <c r="C200" i="1"/>
  <c r="O102" i="1"/>
  <c r="C237" i="1"/>
  <c r="C276" i="1"/>
  <c r="C20" i="1"/>
  <c r="C83" i="1"/>
  <c r="I25" i="1"/>
  <c r="I17" i="1"/>
  <c r="I14" i="1"/>
  <c r="C230" i="1"/>
  <c r="I79" i="1"/>
  <c r="C80" i="1"/>
  <c r="C58" i="1"/>
  <c r="C134" i="1"/>
  <c r="I87" i="1"/>
  <c r="C260" i="1"/>
  <c r="S7" i="1"/>
  <c r="O13" i="1"/>
  <c r="AM8" i="1"/>
  <c r="O25" i="1"/>
  <c r="C256" i="1"/>
  <c r="C198" i="1"/>
  <c r="AM7" i="1"/>
  <c r="C231" i="1"/>
  <c r="C236" i="1"/>
  <c r="C18" i="1"/>
  <c r="I72" i="1"/>
  <c r="C13" i="1"/>
  <c r="I15" i="1"/>
  <c r="C81" i="1"/>
  <c r="C65" i="1"/>
  <c r="I57" i="1"/>
  <c r="I12" i="1"/>
  <c r="O64" i="1"/>
  <c r="U67" i="1"/>
  <c r="C208" i="1"/>
  <c r="C266" i="1"/>
  <c r="C59" i="1"/>
  <c r="C74" i="1"/>
  <c r="AM64" i="1"/>
  <c r="I92" i="1"/>
  <c r="AA174" i="1"/>
  <c r="C213" i="1"/>
  <c r="C263" i="1"/>
  <c r="C88" i="1"/>
  <c r="I53" i="1"/>
  <c r="I102" i="1"/>
  <c r="C251" i="1"/>
  <c r="C206" i="1"/>
  <c r="O21" i="1"/>
  <c r="C31" i="1"/>
  <c r="I52" i="1"/>
  <c r="Y7" i="1"/>
  <c r="AG16" i="1"/>
  <c r="AM67" i="1"/>
  <c r="AA20" i="1"/>
  <c r="AA102" i="1"/>
  <c r="C107" i="1"/>
  <c r="C68" i="1"/>
  <c r="I9" i="1"/>
  <c r="I8" i="1"/>
  <c r="AG68" i="1"/>
  <c r="C21" i="1"/>
  <c r="C228" i="1"/>
  <c r="AG12" i="1"/>
  <c r="AG17" i="1"/>
  <c r="O68" i="1"/>
  <c r="AA24" i="1"/>
  <c r="C217" i="1"/>
  <c r="C51" i="1"/>
  <c r="C66" i="1"/>
  <c r="AG20" i="1"/>
  <c r="O7" i="1"/>
  <c r="U14" i="1"/>
  <c r="AG102" i="1"/>
  <c r="I7" i="1"/>
  <c r="I50" i="1"/>
  <c r="AG9" i="1"/>
  <c r="C247" i="1"/>
  <c r="C49" i="1"/>
  <c r="C87" i="1"/>
  <c r="I49" i="1"/>
  <c r="C264" i="1"/>
  <c r="AM25" i="1"/>
  <c r="C14" i="1"/>
  <c r="U68" i="1"/>
  <c r="AG7" i="1"/>
  <c r="O15" i="1"/>
  <c r="AG13" i="1"/>
  <c r="C216" i="1"/>
  <c r="AG64" i="1"/>
  <c r="C28" i="1"/>
  <c r="C120" i="1"/>
  <c r="I91" i="1"/>
  <c r="C214" i="1"/>
  <c r="C64" i="1"/>
  <c r="C248" i="1"/>
  <c r="C254" i="1"/>
  <c r="C229" i="1"/>
  <c r="C262" i="1"/>
  <c r="C44" i="1"/>
  <c r="C242" i="1"/>
  <c r="C67" i="1"/>
  <c r="I88" i="1"/>
  <c r="I174" i="1"/>
  <c r="A151" i="1"/>
  <c r="C154" i="1"/>
  <c r="C26" i="1"/>
  <c r="U102" i="1"/>
  <c r="C203" i="1"/>
  <c r="C50" i="1"/>
  <c r="I75" i="1"/>
  <c r="C226" i="1"/>
  <c r="C23" i="1"/>
  <c r="C201" i="1"/>
  <c r="AM20" i="1"/>
  <c r="C268" i="1"/>
  <c r="U13" i="1"/>
  <c r="I61" i="1"/>
  <c r="U12" i="1"/>
  <c r="C15" i="1"/>
  <c r="C8" i="1"/>
  <c r="O20" i="1"/>
  <c r="C255" i="1"/>
  <c r="I68" i="1"/>
  <c r="AG8" i="1"/>
  <c r="C71" i="1"/>
  <c r="I76" i="1"/>
  <c r="C133" i="1"/>
  <c r="I67" i="1"/>
  <c r="C224" i="1"/>
  <c r="I71" i="1"/>
  <c r="I65" i="1"/>
  <c r="O24" i="1"/>
  <c r="C114" i="1"/>
  <c r="C121" i="1" s="1"/>
  <c r="I73" i="1"/>
  <c r="C34" i="1"/>
  <c r="U174" i="1"/>
  <c r="I58" i="1"/>
  <c r="U8" i="1"/>
  <c r="C16" i="1"/>
  <c r="C41" i="1"/>
  <c r="C22" i="1"/>
  <c r="C253" i="1"/>
  <c r="O175" i="1"/>
  <c r="C238" i="1"/>
  <c r="AG175" i="1"/>
  <c r="I59" i="1"/>
  <c r="I66" i="1"/>
  <c r="AA68" i="1"/>
  <c r="AA25" i="1"/>
  <c r="I51" i="1"/>
  <c r="C82" i="1"/>
  <c r="U24" i="1"/>
  <c r="AG65" i="1"/>
  <c r="I13" i="1"/>
  <c r="C222" i="1"/>
  <c r="C90" i="1"/>
  <c r="AA17" i="1"/>
  <c r="C9" i="1"/>
  <c r="C79" i="1"/>
  <c r="C210" i="1"/>
  <c r="U17" i="1"/>
  <c r="U65" i="1"/>
  <c r="O66" i="1"/>
  <c r="I48" i="1"/>
  <c r="I56" i="1"/>
  <c r="I16" i="1"/>
  <c r="I20" i="1"/>
  <c r="U21" i="1"/>
  <c r="U7" i="1"/>
  <c r="U25" i="1"/>
  <c r="U9" i="1"/>
  <c r="U15" i="1"/>
  <c r="U16" i="1"/>
  <c r="I81" i="1"/>
  <c r="U20" i="1"/>
  <c r="I89" i="1"/>
  <c r="AM65" i="1"/>
  <c r="AA66" i="1"/>
  <c r="I64" i="1"/>
  <c r="U64" i="1"/>
  <c r="AM68" i="1"/>
  <c r="AG66" i="1"/>
  <c r="AA65" i="1"/>
  <c r="AA64" i="1"/>
  <c r="O67" i="1"/>
  <c r="AG67" i="1"/>
  <c r="AA67" i="1"/>
  <c r="AM66" i="1"/>
  <c r="O65" i="1"/>
  <c r="U66" i="1"/>
  <c r="AA15" i="1"/>
  <c r="AA16" i="1"/>
  <c r="I90" i="1"/>
  <c r="I82" i="1"/>
  <c r="AA13" i="1"/>
  <c r="I74" i="1"/>
  <c r="AA8" i="1"/>
  <c r="AA9" i="1"/>
  <c r="AA21" i="1"/>
  <c r="AA12" i="1"/>
  <c r="AA14" i="1"/>
  <c r="AA7" i="1"/>
  <c r="C159" i="1"/>
  <c r="C155" i="1"/>
  <c r="C157" i="1"/>
  <c r="E155" i="1" l="1"/>
  <c r="E157" i="1"/>
  <c r="E214" i="1"/>
  <c r="E215" i="1"/>
  <c r="E216" i="1"/>
  <c r="E217" i="1"/>
  <c r="E209" i="1"/>
  <c r="E208" i="1"/>
  <c r="E206" i="1"/>
  <c r="E207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203" i="1"/>
  <c r="E205" i="1"/>
  <c r="E213" i="1"/>
  <c r="E211" i="1"/>
  <c r="E236" i="1"/>
  <c r="E238" i="1"/>
  <c r="E239" i="1"/>
  <c r="E237" i="1"/>
  <c r="E234" i="1"/>
  <c r="E212" i="1"/>
  <c r="E201" i="1"/>
  <c r="E230" i="1"/>
  <c r="E199" i="1"/>
  <c r="E227" i="1"/>
  <c r="E231" i="1"/>
  <c r="E235" i="1"/>
  <c r="E225" i="1"/>
  <c r="E228" i="1"/>
  <c r="E223" i="1"/>
  <c r="E222" i="1"/>
  <c r="E221" i="1"/>
  <c r="E198" i="1"/>
  <c r="E226" i="1"/>
  <c r="E224" i="1"/>
  <c r="E233" i="1"/>
  <c r="E256" i="1"/>
  <c r="D276" i="1"/>
  <c r="E43" i="1"/>
  <c r="E44" i="1"/>
  <c r="E271" i="1"/>
  <c r="E250" i="1"/>
  <c r="E249" i="1"/>
  <c r="E251" i="1"/>
  <c r="E120" i="1"/>
  <c r="E248" i="1"/>
  <c r="E270" i="1"/>
  <c r="E264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46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52" i="1"/>
  <c r="E268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53" i="1"/>
  <c r="E261" i="1"/>
  <c r="E114" i="1"/>
  <c r="AI15" i="1"/>
  <c r="K25" i="1"/>
  <c r="AO66" i="1"/>
  <c r="K75" i="1"/>
  <c r="E257" i="1"/>
  <c r="E272" i="1"/>
  <c r="E159" i="1"/>
  <c r="W20" i="1"/>
  <c r="K57" i="1"/>
  <c r="E255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62" i="1"/>
  <c r="AO8" i="1"/>
  <c r="AC17" i="1"/>
  <c r="AO12" i="1"/>
  <c r="Q20" i="1"/>
  <c r="K21" i="1"/>
  <c r="K73" i="1"/>
  <c r="K88" i="1"/>
  <c r="K91" i="1"/>
  <c r="K102" i="1"/>
  <c r="E242" i="1"/>
  <c r="E133" i="1"/>
  <c r="K8" i="1"/>
  <c r="W15" i="1"/>
  <c r="AC20" i="1"/>
  <c r="K87" i="1"/>
  <c r="E220" i="1"/>
  <c r="E263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200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C119" i="1"/>
  <c r="C96" i="1"/>
  <c r="C27" i="1"/>
  <c r="C97" i="1"/>
  <c r="C158" i="1"/>
  <c r="C29" i="1"/>
  <c r="C108" i="1"/>
  <c r="C95" i="1"/>
  <c r="C145" i="1"/>
  <c r="C122" i="1"/>
  <c r="C98" i="1"/>
  <c r="C275" i="1"/>
  <c r="C156" i="1"/>
  <c r="C160" i="1"/>
  <c r="C115" i="1"/>
  <c r="C135" i="1"/>
  <c r="C165" i="1"/>
  <c r="C162" i="1"/>
  <c r="C163" i="1"/>
  <c r="C164" i="1"/>
  <c r="K64" i="1" l="1"/>
  <c r="E260" i="1"/>
  <c r="E247" i="1"/>
  <c r="E204" i="1"/>
  <c r="E266" i="1"/>
  <c r="E202" i="1"/>
  <c r="E229" i="1"/>
  <c r="E115" i="1"/>
  <c r="E23" i="1"/>
  <c r="E210" i="1"/>
  <c r="E232" i="1"/>
  <c r="E265" i="1"/>
  <c r="E273" i="1"/>
  <c r="E108" i="1"/>
  <c r="E254" i="1"/>
  <c r="E121" i="1"/>
  <c r="E269" i="1"/>
  <c r="E119" i="1"/>
  <c r="E164" i="1"/>
  <c r="E165" i="1"/>
  <c r="E163" i="1"/>
  <c r="E162" i="1"/>
  <c r="E156" i="1"/>
  <c r="E160" i="1"/>
  <c r="E135" i="1"/>
  <c r="E243" i="1"/>
  <c r="E275" i="1"/>
  <c r="E145" i="1"/>
  <c r="E158" i="1"/>
  <c r="E259" i="1"/>
  <c r="E122" i="1"/>
  <c r="A110" i="1"/>
  <c r="C113" i="1"/>
  <c r="C117" i="1"/>
  <c r="E276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C116" i="1"/>
  <c r="E116" i="1" l="1"/>
</calcChain>
</file>

<file path=xl/sharedStrings.xml><?xml version="1.0" encoding="utf-8"?>
<sst xmlns="http://schemas.openxmlformats.org/spreadsheetml/2006/main" count="504" uniqueCount="305">
  <si>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</si>
  <si>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</si>
  <si>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</si>
  <si>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</si>
  <si>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</si>
  <si>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</si>
  <si>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</si>
  <si>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</si>
  <si>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</si>
  <si>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</si>
  <si>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</si>
  <si>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</si>
  <si>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</si>
  <si>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</si>
  <si>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</si>
  <si>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</si>
  <si>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</si>
  <si>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</si>
  <si>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</si>
  <si>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</si>
  <si>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</si>
  <si>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</si>
  <si>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</si>
  <si>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</si>
  <si>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</si>
  <si>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</si>
  <si>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</si>
  <si>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</si>
  <si>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</si>
  <si>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</si>
  <si>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</si>
  <si>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</si>
  <si>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</si>
  <si>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</si>
  <si>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</si>
  <si>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</si>
  <si>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</si>
  <si>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</si>
  <si>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</si>
  <si>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</si>
  <si>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</si>
  <si>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</si>
  <si>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</si>
  <si>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</si>
  <si>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</si>
  <si>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</si>
  <si>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</si>
  <si>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</si>
  <si>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</si>
  <si>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</si>
  <si>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</si>
  <si>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</si>
  <si>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</si>
  <si>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</si>
  <si>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</si>
  <si>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</si>
  <si>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</si>
  <si>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</si>
  <si>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</si>
  <si>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</si>
  <si>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</si>
  <si>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</si>
  <si>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</si>
  <si>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</si>
  <si>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</si>
  <si>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</si>
  <si>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</si>
  <si>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</si>
  <si>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</si>
  <si>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</si>
  <si>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</si>
  <si>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</si>
  <si>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</si>
  <si>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</si>
  <si>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</si>
  <si>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</si>
  <si>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</si>
  <si>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</si>
  <si>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</si>
  <si>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</si>
  <si>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</si>
  <si>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</si>
  <si>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</si>
  <si>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</si>
  <si>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</si>
  <si>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</si>
  <si>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</si>
  <si>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</si>
  <si>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</si>
  <si>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</si>
  <si>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</si>
  <si>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</si>
  <si>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</si>
  <si>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</si>
  <si>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</si>
  <si>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</si>
  <si>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</si>
  <si>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</si>
  <si>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</si>
  <si>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</si>
  <si>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</si>
  <si>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</si>
  <si>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</si>
  <si>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</si>
  <si>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</si>
  <si>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</si>
  <si>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</si>
  <si>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</si>
  <si>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</si>
  <si>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</si>
  <si>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</si>
  <si>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</si>
  <si>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</si>
  <si>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</si>
  <si>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</si>
  <si>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</si>
  <si>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</si>
  <si>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</si>
  <si>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</si>
  <si>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</si>
  <si>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</si>
  <si>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</si>
  <si>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</si>
  <si>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</si>
  <si>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</si>
  <si>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</si>
  <si>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</si>
  <si>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</si>
  <si>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</si>
  <si>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</si>
  <si>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</si>
  <si>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</si>
  <si>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</si>
  <si>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</si>
  <si>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</si>
  <si>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</si>
  <si>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</si>
  <si>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</si>
  <si>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</si>
  <si>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</si>
  <si>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</si>
  <si>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</si>
  <si>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</si>
  <si>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</si>
  <si>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</si>
  <si>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</si>
  <si>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</si>
  <si>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</si>
  <si>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</si>
  <si>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</si>
  <si>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</si>
  <si>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</si>
  <si>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</si>
  <si>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</si>
  <si>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</si>
  <si>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</si>
  <si>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</si>
  <si>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</si>
  <si>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</si>
  <si>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</si>
  <si>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</si>
  <si>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</si>
  <si>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</si>
  <si>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</si>
  <si>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</si>
  <si>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</si>
  <si>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</si>
  <si>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</si>
  <si>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</si>
  <si>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</si>
  <si>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</si>
  <si>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</si>
  <si>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</si>
  <si>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</si>
  <si>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</si>
  <si>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</si>
  <si>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</si>
  <si>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</si>
  <si>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</si>
  <si>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</si>
  <si>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</si>
  <si>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</si>
  <si>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</si>
  <si>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</si>
  <si>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</si>
  <si>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</si>
  <si>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</si>
  <si>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</si>
  <si>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</si>
  <si>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</si>
  <si>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</si>
  <si>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</si>
  <si>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</si>
  <si>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</si>
  <si>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</si>
  <si>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</si>
  <si>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</si>
  <si>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</si>
  <si>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</si>
  <si>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</si>
  <si>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</si>
  <si>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</si>
  <si>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</si>
  <si>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</si>
  <si>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</si>
  <si>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</si>
  <si>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</si>
  <si>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</si>
  <si>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</si>
  <si>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</si>
  <si>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</si>
  <si>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</si>
  <si>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</si>
  <si>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</si>
  <si>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</si>
  <si>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</si>
  <si>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</si>
  <si>
    <t>Force-lbf</t>
  </si>
  <si>
    <t>LbfToNewton</t>
  </si>
  <si>
    <t>LbfToKiloNewton</t>
  </si>
  <si>
    <t>NewtonToLbf</t>
  </si>
  <si>
    <t>NewtonToKiloNewton</t>
  </si>
  <si>
    <t>KiloNewtonToLbf</t>
  </si>
  <si>
    <t>KiloNewtonToNewton</t>
  </si>
  <si>
    <t>Torque-lbf-ft</t>
  </si>
  <si>
    <t>LbfFtToLbfInch</t>
  </si>
  <si>
    <t>LbfFtToNewtonMeter</t>
  </si>
  <si>
    <t>LbfInchToLbfFt</t>
  </si>
  <si>
    <t>LbfInchToNewtonMeter</t>
  </si>
  <si>
    <t>NewtonMeterToLbfFt</t>
  </si>
  <si>
    <t>NewtonMeterToLbfInch</t>
  </si>
  <si>
    <t>Power-ft-lbf/sec</t>
  </si>
  <si>
    <t>AeroConvFtLbfPerSecToHorsepower</t>
  </si>
  <si>
    <t>AeroConvFtLbfPerSecToWatt</t>
  </si>
  <si>
    <t>AeroConvFtLbfPerSecToKilowatt</t>
  </si>
  <si>
    <t>AeroConvHorsepowerToFtLbfPerSec</t>
  </si>
  <si>
    <t>AeroConvHorsepowerToWatt</t>
  </si>
  <si>
    <t>AeroConvHorsepowerToKilowatt</t>
  </si>
  <si>
    <t>AeroConvWattToFtLbfPerSec</t>
  </si>
  <si>
    <t>AeroConvWattToHorsepower</t>
  </si>
  <si>
    <t>AeroConvWattToKilowatt</t>
  </si>
  <si>
    <t>AeroConvKilowattToFtLbfPerSec</t>
  </si>
  <si>
    <t>AeroConvKilowattToHorsepower</t>
  </si>
  <si>
    <t>AeroConvKilowattToWatt</t>
  </si>
  <si>
    <t>lb mass</t>
  </si>
  <si>
    <t>LbmToOunce</t>
  </si>
  <si>
    <t>LbmToUsTon</t>
  </si>
  <si>
    <t>LbmToGram</t>
  </si>
  <si>
    <t>LbmToKg</t>
  </si>
  <si>
    <t>LbmToMetricTon</t>
  </si>
  <si>
    <t>SlugToLbm</t>
  </si>
  <si>
    <t>SlugToOunce</t>
  </si>
  <si>
    <t>SlugToUsTon</t>
  </si>
  <si>
    <t>SlugToGram</t>
  </si>
  <si>
    <t>SlugToKg</t>
  </si>
  <si>
    <t>SlugToMetricTon</t>
  </si>
  <si>
    <t>OunceToLbm</t>
  </si>
  <si>
    <t>OunceToSlug</t>
  </si>
  <si>
    <t>OunceToUsTon</t>
  </si>
  <si>
    <t>OunceToGram</t>
  </si>
  <si>
    <t>OunceToKg</t>
  </si>
  <si>
    <t>OunceToMetricTon</t>
  </si>
  <si>
    <t>UsTonToLbm</t>
  </si>
  <si>
    <t>UsTonToSlug</t>
  </si>
  <si>
    <t>UsTonToOunce</t>
  </si>
  <si>
    <t>UsTonToGram</t>
  </si>
  <si>
    <t>UsTonToKg</t>
  </si>
  <si>
    <t>UsTonToMetricTon</t>
  </si>
  <si>
    <t>GramToLbm</t>
  </si>
  <si>
    <t>GramToSlug</t>
  </si>
  <si>
    <t>GramToOunce</t>
  </si>
  <si>
    <t>GramToUsTon</t>
  </si>
  <si>
    <t>GramToKg</t>
  </si>
  <si>
    <t>GramToMetricTon</t>
  </si>
  <si>
    <t>KgToLbm</t>
  </si>
  <si>
    <t>KgToSlug</t>
  </si>
  <si>
    <t>KgToOunce</t>
  </si>
  <si>
    <t>KgToUsTon</t>
  </si>
  <si>
    <t>KgToGram</t>
  </si>
  <si>
    <t>KgToMetricTon</t>
  </si>
  <si>
    <t>MetricTonToLbm</t>
  </si>
  <si>
    <t>MetricTonToSlug</t>
  </si>
  <si>
    <t>MetricTonToOunce</t>
  </si>
  <si>
    <t>MetricTonToUsTon</t>
  </si>
  <si>
    <t>MetricTonToGram</t>
  </si>
  <si>
    <t>MetricTonToKg</t>
  </si>
  <si>
    <t>LbmToSlug</t>
  </si>
  <si>
    <t>POWER=f(TORQUE,REVS)</t>
  </si>
  <si>
    <t>lbf-ft</t>
  </si>
  <si>
    <t>rev/min</t>
  </si>
  <si>
    <t>Power_ftLbfPerSec_fTorqueLbfFtRevPerMin</t>
  </si>
  <si>
    <t>Power_ftLbfPerSec_fTorqueLbfFtRevPerSec</t>
  </si>
  <si>
    <t>Power_ftLbfPerSec_fTorqueLbfInchRevPerMin</t>
  </si>
  <si>
    <t>Power_ftLbfPerSec_fTorqueLbfInchRevPerSec</t>
  </si>
  <si>
    <t>Power_horsepower_fTorqueLbfFtRevPerMin</t>
  </si>
  <si>
    <t>Power_horsepower_fTorqueLbfFtRevPerSec</t>
  </si>
  <si>
    <t>Power_horsepower_fTorqueLbfInchRevPerMin</t>
  </si>
  <si>
    <t>Power_horsepower_fTorqueLbfInchRevPerSec</t>
  </si>
  <si>
    <t>Power_watts_fTorqueNewtonMeterRevPerMin</t>
  </si>
  <si>
    <t>Power_watts_fTorqueNewtonMeterRevPerSec</t>
  </si>
  <si>
    <t>Power_kilowatts_fTorqueNewtonMeterRevPerMin</t>
  </si>
  <si>
    <t>Power_kilowatts_fTorqueNewtonMeterRevPerSec</t>
  </si>
  <si>
    <t>rev/sec</t>
  </si>
  <si>
    <t>lbf-in</t>
  </si>
  <si>
    <t>newton-meter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</si>
</sst>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/>
    <xf numFmtId="0" fontId="0" fillId="2" borderId="0" xfId="0" applyFont="1" applyFill="1" applyAlignment="1">
      <alignment horizontal="right"/>
    </xf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/>
    <xf numFmtId="0" fontId="0" fillId="0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DegToRad"/>
      <definedName name="AeroConvFahrenheitToCelsius"/>
      <definedName name="AeroConvFahrenheitToKelvin"/>
      <definedName name="AeroConvFahrenheitToRankine"/>
      <definedName name="AeroConvFtLbfPerSecToHorsepower"/>
      <definedName name="AeroConvFtLbfPerSecToKilowatt"/>
      <definedName name="AeroConvFtLbfPerSecToWatt"/>
      <definedName name="AeroConvFtPerNmToDeg"/>
      <definedName name="AeroConvFtPerNmToPctGrad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mToKg"/>
      <definedName name="AeroConvGramToLbm"/>
      <definedName name="AeroConvGramToMetricTon"/>
      <definedName name="AeroConvGramToOunce"/>
      <definedName name="AeroConvGramToSlug"/>
      <definedName name="AeroConvGramToUsTon"/>
      <definedName name="AeroConvHorsepowerToFtLbfPerSec"/>
      <definedName name="AeroConvHorsepowerToKilowatt"/>
      <definedName name="AeroConvHorsepowerToWatt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gToGram"/>
      <definedName name="AeroConvKgToLbm"/>
      <definedName name="AeroConvKgToMetricTon"/>
      <definedName name="AeroConvKgToOunce"/>
      <definedName name="AeroConvKgToSlug"/>
      <definedName name="AeroConvKgToUsTon"/>
      <definedName name="AeroConvKiloNewtonToLbf"/>
      <definedName name="AeroConvKiloNewtonToNewton"/>
      <definedName name="AeroConvKilowattToFtLbfPerSec"/>
      <definedName name="AeroConvKilowattToHorsepower"/>
      <definedName name="AeroConvKilowattToWatt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FtToLbfInch"/>
      <definedName name="AeroConvLbfFtToNewtonMeter"/>
      <definedName name="AeroConvLbfInchToLbfFt"/>
      <definedName name="AeroConvLbfInchToNewtonMete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LbfToKiloNewton"/>
      <definedName name="AeroConvLbfToNewton"/>
      <definedName name="AeroConvLbmToGram"/>
      <definedName name="AeroConvLbmToKg"/>
      <definedName name="AeroConvLbmToMetricTon"/>
      <definedName name="AeroConvLbmToOunce"/>
      <definedName name="AeroConvLbmToSlug"/>
      <definedName name="AeroConvLbmToUsTon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etricTonToGram"/>
      <definedName name="AeroConvMetricTonToKg"/>
      <definedName name="AeroConvMetricTonToLbm"/>
      <definedName name="AeroConvMetricTonToOunce"/>
      <definedName name="AeroConvMetricTonToSlug"/>
      <definedName name="AeroConvMetricTonToUsTon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ewtonMeterToLbfFt"/>
      <definedName name="AeroConvNewtonMeterToLbfInch"/>
      <definedName name="AeroConvNewtonToKiloNewton"/>
      <definedName name="AeroConvNewtonToLbf"/>
      <definedName name="AeroConvNmToFt"/>
      <definedName name="AeroConvNmToKm"/>
      <definedName name="AeroConvNmToMeter"/>
      <definedName name="AeroConvNmToMile"/>
      <definedName name="AeroConvOunceToGram"/>
      <definedName name="AeroConvOunceToKg"/>
      <definedName name="AeroConvOunceToLbm"/>
      <definedName name="AeroConvOunceToMetricTon"/>
      <definedName name="AeroConvOunceToSlug"/>
      <definedName name="AeroConvOunceToUsTon"/>
      <definedName name="AeroConvPctGradToDeg"/>
      <definedName name="AeroConvPctGradToFtPerNm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ConvSlugToGram"/>
      <definedName name="AeroConvSlugToKg"/>
      <definedName name="AeroConvSlugToLbm"/>
      <definedName name="AeroConvSlugToMetricTon"/>
      <definedName name="AeroConvSlugToOunce"/>
      <definedName name="AeroConvSlugToUsTon"/>
      <definedName name="AeroConvUsTonToGram"/>
      <definedName name="AeroConvUsTonToKg"/>
      <definedName name="AeroConvUsTonToLbm"/>
      <definedName name="AeroConvUsTonToMetricTon"/>
      <definedName name="AeroConvUsTonToOunce"/>
      <definedName name="AeroConvUsTonToSlug"/>
      <definedName name="AeroConvWattToFtLbfPerSec"/>
      <definedName name="AeroConvWattToHorsepower"/>
      <definedName name="AeroConvWattToKilowatt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isadevcelsius"/>
      <definedName name="AeroKTAS_fHpKCASisadevfahrenheit"/>
      <definedName name="AeroKTAS_fHpKCASOATCelsius"/>
      <definedName name="AeroKTAS_fHpKCASOATFahrenheit"/>
      <definedName name="AeroKTAS_fHpKCASOATKelvin"/>
      <definedName name="AeroKTAS_fHpKCASOATRankine"/>
      <definedName name="aeroktas_fhpkeasisadevcelsius"/>
      <definedName name="aeroktas_fhpkeasisadevfahrenheit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ower_ftLbfPerSec_fTorqueLbfFtRevPerMin"/>
      <definedName name="AeroPower_ftLbfPerSec_fTorqueLbfFtRevPerSec"/>
      <definedName name="AeroPower_ftLbfPerSec_fTorqueLbfInchRevPerMin"/>
      <definedName name="AeroPower_ftLbfPerSec_fTorqueLbfInchRevPerSec"/>
      <definedName name="AeroPower_horsepower_fTorqueLbfFtRevPerMin"/>
      <definedName name="AeroPower_horsepower_fTorqueLbfFtRevPerSec"/>
      <definedName name="AeroPower_horsepower_fTorqueLbfInchRevPerMin"/>
      <definedName name="AeroPower_horsepower_fTorqueLbfInchRevPerSec"/>
      <definedName name="AeroPower_kilowatts_fTorqueNewtonMeterRevPerMin"/>
      <definedName name="AeroPower_kilowatts_fTorqueNewtonMeterRevPerSec"/>
      <definedName name="AeroPower_watts_fTorqueNewtonMeterRevPerMin"/>
      <definedName name="AeroPower_watts_fTorqueNewtonMeterRevPerSec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352"/>
  <sheetViews>
    <sheetView tabSelected="1" topLeftCell="A169" zoomScale="85" zoomScaleNormal="85" workbookViewId="0">
      <selection activeCell="E176" sqref="E176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7" t="s">
        <v>24</v>
      </c>
      <c r="C6" s="28"/>
      <c r="D6"/>
      <c r="E6"/>
      <c r="G6" s="3" t="s">
        <v>42</v>
      </c>
      <c r="H6" s="27" t="s">
        <v>43</v>
      </c>
      <c r="I6" s="28"/>
      <c r="J6"/>
      <c r="K6"/>
      <c r="M6" s="3" t="s">
        <v>15</v>
      </c>
      <c r="N6" s="27" t="s">
        <v>16</v>
      </c>
      <c r="O6" s="28"/>
      <c r="S6" s="3" t="s">
        <v>45</v>
      </c>
      <c r="T6" s="27" t="s">
        <v>44</v>
      </c>
      <c r="U6" s="28"/>
      <c r="V6"/>
      <c r="W6"/>
      <c r="Y6" s="3" t="s">
        <v>17</v>
      </c>
      <c r="Z6" s="27" t="s">
        <v>18</v>
      </c>
      <c r="AA6" s="28"/>
      <c r="AB6"/>
      <c r="AC6"/>
      <c r="AE6" s="3" t="s">
        <v>46</v>
      </c>
      <c r="AF6" s="27" t="s">
        <v>47</v>
      </c>
      <c r="AG6" s="28"/>
      <c r="AH6"/>
      <c r="AI6"/>
      <c r="AK6" s="3" t="s">
        <v>49</v>
      </c>
      <c r="AL6" s="27" t="s">
        <v>50</v>
      </c>
      <c r="AM6" s="28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[1]!AeroConvKelvinToCelsius(oatK)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[1]!AeroKTAS_fHpKCASisadevcelsius(hp,KCAS,isaDevC)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[1]!AeroKTAS_fHpKCASisadevfahrenheit(hp,KCAS,isaDevF)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[1]!aeroktas_fhpkeasisadevcelsius(hp,KEAS,isaDevC)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[1]!aeroktas_fhpkeasisadevfahrenheit(hp,KEAS,isaDevF)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[1]!AeroKTAS_fMachHpISAdevCelsius(Mach,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[1]!AeroKTAS_fHpQISAdevCelsius(hp,QPSF,isaDevC)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[1]!AeroHp_fQnhHPaGeoPtlAlt(A151,A153)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[1]!AeroConvHPaToInHg(A151)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[1]!AeroHp_fQnhInHgGeoPtlAlt(C155,A153)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[1]!AeroConvHPaToLbfPerFt2(A151)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[1]!AeroHp_fQnhLbfPerFt2GeoPtlAlt(C157,A153)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[1]!AeroConvHPaToLbfPerInch2(A151)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[1]!AeroHp_fQnhLbfPerInch2GeoPtlAlt(C159,A153)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[1]!AeroQnh_lbPerFt2_fHpGeoPtlAlt(C160,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[1]!AeroQnh_lbPerInch2_fHpGeoPtlAlt(C160,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[1]!AeroQnh_inHg_fHpGeoPtlAlt(C160,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[1]!AeroQnh_hPa_fHpGeoPtlAlt(C160,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s="25" customFormat="1" x14ac:dyDescent="0.25">
      <c r="A177" s="5" t="s">
        <v>287</v>
      </c>
      <c r="B177" s="3"/>
      <c r="C177" s="8"/>
      <c r="D177" s="8"/>
      <c r="E177" s="8"/>
      <c r="G177" s="7"/>
      <c r="H177" s="3"/>
      <c r="I177" s="8"/>
      <c r="N177" s="7"/>
      <c r="O177" s="8"/>
      <c r="P177" s="8"/>
      <c r="Q177" s="8"/>
      <c r="T177" s="7"/>
      <c r="U177" s="8"/>
      <c r="V177" s="8"/>
      <c r="W177" s="8"/>
      <c r="Z177" s="7"/>
      <c r="AA177" s="8"/>
      <c r="AB177" s="8"/>
      <c r="AC177" s="8"/>
      <c r="AF177" s="7"/>
      <c r="AG177" s="8"/>
      <c r="AH177" s="8"/>
      <c r="AI177" s="8"/>
      <c r="AL177" s="7"/>
      <c r="AM177" s="8"/>
      <c r="AN177" s="8"/>
      <c r="AO177" s="8"/>
    </row>
    <row r="178" spans="1:41" s="25" customFormat="1" x14ac:dyDescent="0.25">
      <c r="A178" s="7" t="s">
        <v>288</v>
      </c>
      <c r="B178" s="3"/>
      <c r="C178" s="8"/>
      <c r="D178" s="8"/>
      <c r="E178" s="8"/>
      <c r="G178" s="7"/>
      <c r="H178" s="3"/>
      <c r="I178" s="8"/>
      <c r="N178" s="7"/>
      <c r="O178" s="8"/>
      <c r="P178" s="8"/>
      <c r="Q178" s="8"/>
      <c r="T178" s="7"/>
      <c r="U178" s="8"/>
      <c r="V178" s="8"/>
      <c r="W178" s="8"/>
      <c r="Z178" s="7"/>
      <c r="AA178" s="8"/>
      <c r="AB178" s="8"/>
      <c r="AC178" s="8"/>
      <c r="AF178" s="7"/>
      <c r="AG178" s="8"/>
      <c r="AH178" s="8"/>
      <c r="AI178" s="8"/>
      <c r="AL178" s="7"/>
      <c r="AM178" s="8"/>
      <c r="AN178" s="8"/>
      <c r="AO178" s="8"/>
    </row>
    <row r="179" spans="1:41" s="25" customFormat="1" x14ac:dyDescent="0.25">
      <c r="A179" s="6">
        <v>100</v>
      </c>
      <c r="B179" s="3"/>
      <c r="C179" s="8"/>
      <c r="D179" s="8"/>
      <c r="E179" s="8"/>
      <c r="G179" s="7"/>
      <c r="H179" s="3"/>
      <c r="I179" s="8"/>
      <c r="N179" s="7"/>
      <c r="O179" s="8"/>
      <c r="P179" s="8"/>
      <c r="Q179" s="8"/>
      <c r="T179" s="7"/>
      <c r="U179" s="8"/>
      <c r="V179" s="8"/>
      <c r="W179" s="8"/>
      <c r="Z179" s="7"/>
      <c r="AA179" s="8"/>
      <c r="AB179" s="8"/>
      <c r="AC179" s="8"/>
      <c r="AF179" s="7"/>
      <c r="AG179" s="8"/>
      <c r="AH179" s="8"/>
      <c r="AI179" s="8"/>
      <c r="AL179" s="7"/>
      <c r="AM179" s="8"/>
      <c r="AN179" s="8"/>
      <c r="AO179" s="8"/>
    </row>
    <row r="180" spans="1:41" s="25" customFormat="1" x14ac:dyDescent="0.25">
      <c r="A180" s="7" t="s">
        <v>303</v>
      </c>
      <c r="B180" s="3"/>
      <c r="C180" s="8"/>
      <c r="D180" s="8"/>
      <c r="E180" s="8"/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s="25" customFormat="1" x14ac:dyDescent="0.25">
      <c r="A181" s="25">
        <f>[1]!AeroConvLbfFtToLbfInch(A179)</f>
        <v>1200</v>
      </c>
      <c r="B181" s="3"/>
      <c r="C181" s="8"/>
      <c r="D181" s="8"/>
      <c r="E181" s="8"/>
      <c r="G181" s="7"/>
      <c r="H181" s="3"/>
      <c r="I181" s="8"/>
      <c r="N181" s="7"/>
      <c r="O181" s="8"/>
      <c r="P181" s="8"/>
      <c r="Q181" s="8"/>
      <c r="T181" s="7"/>
      <c r="U181" s="8"/>
      <c r="V181" s="8"/>
      <c r="W181" s="8"/>
      <c r="Z181" s="7"/>
      <c r="AA181" s="8"/>
      <c r="AB181" s="8"/>
      <c r="AC181" s="8"/>
      <c r="AF181" s="7"/>
      <c r="AG181" s="8"/>
      <c r="AH181" s="8"/>
      <c r="AI181" s="8"/>
      <c r="AL181" s="7"/>
      <c r="AM181" s="8"/>
      <c r="AN181" s="8"/>
      <c r="AO181" s="8"/>
    </row>
    <row r="182" spans="1:41" s="25" customFormat="1" x14ac:dyDescent="0.25">
      <c r="A182" s="29" t="s">
        <v>304</v>
      </c>
      <c r="B182" s="25" t="s">
        <v>290</v>
      </c>
      <c r="C182" s="26">
        <f>[1]!AeroPower_ftLbfPerSec_fTorqueLbfFtRevPerMin(A179,A185)</f>
        <v>628.31853071795865</v>
      </c>
      <c r="D182" s="8">
        <v>628.31853071795865</v>
      </c>
      <c r="E182" s="10">
        <f t="shared" ref="E182:E193" si="40">(C182-D182)/D182*100</f>
        <v>0</v>
      </c>
      <c r="G182" s="7"/>
      <c r="H182" s="3"/>
      <c r="I182" s="8"/>
      <c r="N182" s="7"/>
      <c r="O182" s="8"/>
      <c r="P182" s="8"/>
      <c r="Q182" s="8"/>
      <c r="T182" s="7"/>
      <c r="U182" s="8"/>
      <c r="V182" s="8"/>
      <c r="W182" s="8"/>
      <c r="Z182" s="7"/>
      <c r="AA182" s="8"/>
      <c r="AB182" s="8"/>
      <c r="AC182" s="8"/>
      <c r="AF182" s="7"/>
      <c r="AG182" s="8"/>
      <c r="AH182" s="8"/>
      <c r="AI182" s="8"/>
      <c r="AL182" s="7"/>
      <c r="AM182" s="8"/>
      <c r="AN182" s="8"/>
      <c r="AO182" s="8"/>
    </row>
    <row r="183" spans="1:41" s="25" customFormat="1" x14ac:dyDescent="0.25">
      <c r="A183" s="25">
        <f>[1]!AeroConvLbfFtToNewtonMeter(A179)</f>
        <v>135.58179483314004</v>
      </c>
      <c r="B183" s="25" t="s">
        <v>291</v>
      </c>
      <c r="C183" s="26">
        <f>[1]!AeroPower_ftLbfPerSec_fTorqueLbfFtRevPerSec(A179,A187)</f>
        <v>628.31853071795865</v>
      </c>
      <c r="D183" s="8">
        <v>628.31853071795865</v>
      </c>
      <c r="E183" s="10">
        <f t="shared" si="40"/>
        <v>0</v>
      </c>
      <c r="G183" s="7"/>
      <c r="H183" s="3"/>
      <c r="I183" s="8"/>
      <c r="N183" s="7"/>
      <c r="O183" s="8"/>
      <c r="P183" s="8"/>
      <c r="Q183" s="8"/>
      <c r="T183" s="7"/>
      <c r="U183" s="8"/>
      <c r="V183" s="8"/>
      <c r="W183" s="8"/>
      <c r="Z183" s="7"/>
      <c r="AA183" s="8"/>
      <c r="AB183" s="8"/>
      <c r="AC183" s="8"/>
      <c r="AF183" s="7"/>
      <c r="AG183" s="8"/>
      <c r="AH183" s="8"/>
      <c r="AI183" s="8"/>
      <c r="AL183" s="7"/>
      <c r="AM183" s="8"/>
      <c r="AN183" s="8"/>
      <c r="AO183" s="8"/>
    </row>
    <row r="184" spans="1:41" s="25" customFormat="1" x14ac:dyDescent="0.25">
      <c r="A184" s="7" t="s">
        <v>289</v>
      </c>
      <c r="B184" s="25" t="s">
        <v>292</v>
      </c>
      <c r="C184" s="26">
        <f>[1]!AeroPower_ftLbfPerSec_fTorqueLbfInchRevPerMin(A181,A185)</f>
        <v>628.31853071795865</v>
      </c>
      <c r="D184" s="8">
        <v>628.31853071795865</v>
      </c>
      <c r="E184" s="10">
        <f t="shared" si="40"/>
        <v>0</v>
      </c>
      <c r="G184" s="7"/>
      <c r="H184" s="3"/>
      <c r="I184" s="8"/>
      <c r="N184" s="7"/>
      <c r="O184" s="8"/>
      <c r="P184" s="8"/>
      <c r="Q184" s="8"/>
      <c r="T184" s="7"/>
      <c r="U184" s="8"/>
      <c r="V184" s="8"/>
      <c r="W184" s="8"/>
      <c r="Z184" s="7"/>
      <c r="AA184" s="8"/>
      <c r="AB184" s="8"/>
      <c r="AC184" s="8"/>
      <c r="AF184" s="7"/>
      <c r="AG184" s="8"/>
      <c r="AH184" s="8"/>
      <c r="AI184" s="8"/>
      <c r="AL184" s="7"/>
      <c r="AM184" s="8"/>
      <c r="AN184" s="8"/>
      <c r="AO184" s="8"/>
    </row>
    <row r="185" spans="1:41" s="25" customFormat="1" x14ac:dyDescent="0.25">
      <c r="A185" s="6">
        <v>60</v>
      </c>
      <c r="B185" s="25" t="s">
        <v>293</v>
      </c>
      <c r="C185" s="26">
        <f>[1]!AeroPower_ftLbfPerSec_fTorqueLbfInchRevPerSec(A181,A187)</f>
        <v>628.31853071795865</v>
      </c>
      <c r="D185" s="8">
        <v>628.31853071795865</v>
      </c>
      <c r="E185" s="10">
        <f t="shared" si="40"/>
        <v>0</v>
      </c>
      <c r="G185" s="7"/>
      <c r="H185" s="3"/>
      <c r="I185" s="8"/>
      <c r="N185" s="7"/>
      <c r="O185" s="8"/>
      <c r="P185" s="8"/>
      <c r="Q185" s="8"/>
      <c r="T185" s="7"/>
      <c r="U185" s="8"/>
      <c r="V185" s="8"/>
      <c r="W185" s="8"/>
      <c r="Z185" s="7"/>
      <c r="AA185" s="8"/>
      <c r="AB185" s="8"/>
      <c r="AC185" s="8"/>
      <c r="AF185" s="7"/>
      <c r="AG185" s="8"/>
      <c r="AH185" s="8"/>
      <c r="AI185" s="8"/>
      <c r="AL185" s="7"/>
      <c r="AM185" s="8"/>
      <c r="AN185" s="8"/>
      <c r="AO185" s="8"/>
    </row>
    <row r="186" spans="1:41" s="25" customFormat="1" x14ac:dyDescent="0.25">
      <c r="A186" s="7" t="s">
        <v>302</v>
      </c>
      <c r="B186" s="25" t="s">
        <v>294</v>
      </c>
      <c r="C186" s="26">
        <f>[1]!AeroPower_horsepower_fTorqueLbfFtRevPerMin(A179,A185)</f>
        <v>1.1423973285781066</v>
      </c>
      <c r="D186" s="8">
        <v>1.1423973285781066</v>
      </c>
      <c r="E186" s="10">
        <f t="shared" si="40"/>
        <v>0</v>
      </c>
      <c r="G186" s="7"/>
      <c r="H186" s="3"/>
      <c r="I186" s="8"/>
      <c r="N186" s="7"/>
      <c r="O186" s="8"/>
      <c r="P186" s="8"/>
      <c r="Q186" s="8"/>
      <c r="T186" s="7"/>
      <c r="U186" s="8"/>
      <c r="V186" s="8"/>
      <c r="W186" s="8"/>
      <c r="Z186" s="7"/>
      <c r="AA186" s="8"/>
      <c r="AB186" s="8"/>
      <c r="AC186" s="8"/>
      <c r="AF186" s="7"/>
      <c r="AG186" s="8"/>
      <c r="AH186" s="8"/>
      <c r="AI186" s="8"/>
      <c r="AL186" s="7"/>
      <c r="AM186" s="8"/>
      <c r="AN186" s="8"/>
      <c r="AO186" s="8"/>
    </row>
    <row r="187" spans="1:41" s="25" customFormat="1" x14ac:dyDescent="0.25">
      <c r="A187" s="7">
        <f>A185/60</f>
        <v>1</v>
      </c>
      <c r="B187" s="25" t="s">
        <v>295</v>
      </c>
      <c r="C187" s="26">
        <f>[1]!AeroPower_horsepower_fTorqueLbfFtRevPerSec(A179,A187)</f>
        <v>1.1423973285781066</v>
      </c>
      <c r="D187" s="8">
        <v>1.1423973285781066</v>
      </c>
      <c r="E187" s="10">
        <f t="shared" si="40"/>
        <v>0</v>
      </c>
      <c r="G187" s="7"/>
      <c r="H187" s="3"/>
      <c r="I187" s="8"/>
      <c r="N187" s="7"/>
      <c r="O187" s="8"/>
      <c r="P187" s="8"/>
      <c r="Q187" s="8"/>
      <c r="T187" s="7"/>
      <c r="U187" s="8"/>
      <c r="V187" s="8"/>
      <c r="W187" s="8"/>
      <c r="Z187" s="7"/>
      <c r="AA187" s="8"/>
      <c r="AB187" s="8"/>
      <c r="AC187" s="8"/>
      <c r="AF187" s="7"/>
      <c r="AG187" s="8"/>
      <c r="AH187" s="8"/>
      <c r="AI187" s="8"/>
      <c r="AL187" s="7"/>
      <c r="AM187" s="8"/>
      <c r="AN187" s="8"/>
      <c r="AO187" s="8"/>
    </row>
    <row r="188" spans="1:41" s="25" customFormat="1" x14ac:dyDescent="0.25">
      <c r="A188" s="7"/>
      <c r="B188" s="25" t="s">
        <v>296</v>
      </c>
      <c r="C188" s="26">
        <f>[1]!AeroPower_horsepower_fTorqueLbfInchRevPerMin(A181,A185)</f>
        <v>1.1423973285781066</v>
      </c>
      <c r="D188" s="8">
        <v>1.1423973285781066</v>
      </c>
      <c r="E188" s="10">
        <f t="shared" si="40"/>
        <v>0</v>
      </c>
      <c r="G188" s="7"/>
      <c r="H188" s="3"/>
      <c r="I188" s="8"/>
      <c r="N188" s="7"/>
      <c r="O188" s="8"/>
      <c r="P188" s="8"/>
      <c r="Q188" s="8"/>
      <c r="T188" s="7"/>
      <c r="U188" s="8"/>
      <c r="V188" s="8"/>
      <c r="W188" s="8"/>
      <c r="Z188" s="7"/>
      <c r="AA188" s="8"/>
      <c r="AB188" s="8"/>
      <c r="AC188" s="8"/>
      <c r="AF188" s="7"/>
      <c r="AG188" s="8"/>
      <c r="AH188" s="8"/>
      <c r="AI188" s="8"/>
      <c r="AL188" s="7"/>
      <c r="AM188" s="8"/>
      <c r="AN188" s="8"/>
      <c r="AO188" s="8"/>
    </row>
    <row r="189" spans="1:41" s="25" customFormat="1" x14ac:dyDescent="0.25">
      <c r="A189" s="7"/>
      <c r="B189" s="25" t="s">
        <v>297</v>
      </c>
      <c r="C189" s="26">
        <f>[1]!AeroPower_horsepower_fTorqueLbfInchRevPerSec(A181,A187)</f>
        <v>1.1423973285781066</v>
      </c>
      <c r="D189" s="8">
        <v>1.1423973285781066</v>
      </c>
      <c r="E189" s="10">
        <f t="shared" si="40"/>
        <v>0</v>
      </c>
      <c r="G189" s="7"/>
      <c r="H189" s="3"/>
      <c r="I189" s="8"/>
      <c r="N189" s="7"/>
      <c r="O189" s="8"/>
      <c r="P189" s="8"/>
      <c r="Q189" s="8"/>
      <c r="T189" s="7"/>
      <c r="U189" s="8"/>
      <c r="V189" s="8"/>
      <c r="W189" s="8"/>
      <c r="Z189" s="7"/>
      <c r="AA189" s="8"/>
      <c r="AB189" s="8"/>
      <c r="AC189" s="8"/>
      <c r="AF189" s="7"/>
      <c r="AG189" s="8"/>
      <c r="AH189" s="8"/>
      <c r="AI189" s="8"/>
      <c r="AL189" s="7"/>
      <c r="AM189" s="8"/>
      <c r="AN189" s="8"/>
      <c r="AO189" s="8"/>
    </row>
    <row r="190" spans="1:41" s="25" customFormat="1" x14ac:dyDescent="0.25">
      <c r="A190" s="7"/>
      <c r="B190" s="25" t="s">
        <v>298</v>
      </c>
      <c r="C190" s="26">
        <f>[1]!AeroPower_watts_fTorqueNewtonMeterRevPerMin(A183,A185)</f>
        <v>851.88554121662264</v>
      </c>
      <c r="D190" s="8">
        <v>851.88554121662264</v>
      </c>
      <c r="E190" s="10">
        <f t="shared" si="40"/>
        <v>0</v>
      </c>
      <c r="G190" s="7"/>
      <c r="H190" s="3"/>
      <c r="I190" s="8"/>
      <c r="N190" s="7"/>
      <c r="O190" s="8"/>
      <c r="P190" s="8"/>
      <c r="Q190" s="8"/>
      <c r="T190" s="7"/>
      <c r="U190" s="8"/>
      <c r="V190" s="8"/>
      <c r="W190" s="8"/>
      <c r="Z190" s="7"/>
      <c r="AA190" s="8"/>
      <c r="AB190" s="8"/>
      <c r="AC190" s="8"/>
      <c r="AF190" s="7"/>
      <c r="AG190" s="8"/>
      <c r="AH190" s="8"/>
      <c r="AI190" s="8"/>
      <c r="AL190" s="7"/>
      <c r="AM190" s="8"/>
      <c r="AN190" s="8"/>
      <c r="AO190" s="8"/>
    </row>
    <row r="191" spans="1:41" s="25" customFormat="1" x14ac:dyDescent="0.25">
      <c r="A191" s="7"/>
      <c r="B191" s="25" t="s">
        <v>299</v>
      </c>
      <c r="C191" s="26">
        <f>[1]!AeroPower_watts_fTorqueNewtonMeterRevPerSec(A183,A187)</f>
        <v>851.88554121662264</v>
      </c>
      <c r="D191" s="8">
        <v>851.88554121662264</v>
      </c>
      <c r="E191" s="10">
        <f t="shared" si="40"/>
        <v>0</v>
      </c>
      <c r="G191" s="7"/>
      <c r="H191" s="3"/>
      <c r="I191" s="8"/>
      <c r="N191" s="7"/>
      <c r="O191" s="8"/>
      <c r="P191" s="8"/>
      <c r="Q191" s="8"/>
      <c r="T191" s="7"/>
      <c r="U191" s="8"/>
      <c r="V191" s="8"/>
      <c r="W191" s="8"/>
      <c r="Z191" s="7"/>
      <c r="AA191" s="8"/>
      <c r="AB191" s="8"/>
      <c r="AC191" s="8"/>
      <c r="AF191" s="7"/>
      <c r="AG191" s="8"/>
      <c r="AH191" s="8"/>
      <c r="AI191" s="8"/>
      <c r="AL191" s="7"/>
      <c r="AM191" s="8"/>
      <c r="AN191" s="8"/>
      <c r="AO191" s="8"/>
    </row>
    <row r="192" spans="1:41" s="25" customFormat="1" x14ac:dyDescent="0.25">
      <c r="A192" s="7"/>
      <c r="B192" s="25" t="s">
        <v>300</v>
      </c>
      <c r="C192" s="26">
        <f>[1]!AeroPower_kilowatts_fTorqueNewtonMeterRevPerMin(A183,A185)</f>
        <v>0.85188554121662263</v>
      </c>
      <c r="D192" s="8">
        <v>0.85188554121662263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25" customFormat="1" x14ac:dyDescent="0.25">
      <c r="A193" s="7"/>
      <c r="B193" s="25" t="s">
        <v>301</v>
      </c>
      <c r="C193" s="26">
        <f>[1]!AeroPower_kilowatts_fTorqueNewtonMeterRevPerSec(A183,A187)</f>
        <v>0.85188554121662263</v>
      </c>
      <c r="D193" s="8">
        <v>0.85188554121662263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25" customFormat="1" x14ac:dyDescent="0.25">
      <c r="A194" s="7"/>
      <c r="D194" s="8"/>
      <c r="E194" s="8"/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x14ac:dyDescent="0.25">
      <c r="A195" s="5" t="s">
        <v>151</v>
      </c>
    </row>
    <row r="196" spans="1:41" x14ac:dyDescent="0.25">
      <c r="A196" s="7" t="s">
        <v>163</v>
      </c>
    </row>
    <row r="197" spans="1:41" x14ac:dyDescent="0.25">
      <c r="A197" s="6">
        <v>6076.1</v>
      </c>
    </row>
    <row r="198" spans="1:41" s="20" customFormat="1" x14ac:dyDescent="0.25">
      <c r="A198" s="22"/>
      <c r="B198" s="3" t="s">
        <v>71</v>
      </c>
      <c r="C198" s="9">
        <f>[1]!AeroConvFtToNm(lengthFeet)</f>
        <v>0.99999745140388774</v>
      </c>
      <c r="D198" s="8">
        <v>0.99999745140388774</v>
      </c>
      <c r="E198" s="10">
        <f t="shared" ref="E198:E217" si="41">(C198-D198)/D198*100</f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x14ac:dyDescent="0.25">
      <c r="B199" s="3" t="s">
        <v>176</v>
      </c>
      <c r="C199" s="9">
        <f>[1]!AeroConvFtToMile(lengthFeet)</f>
        <v>1.1507765151515152</v>
      </c>
      <c r="D199" s="8">
        <v>1.1507765151515152</v>
      </c>
      <c r="E199" s="10">
        <f t="shared" si="41"/>
        <v>0</v>
      </c>
    </row>
    <row r="200" spans="1:41" x14ac:dyDescent="0.25">
      <c r="B200" s="3" t="s">
        <v>180</v>
      </c>
      <c r="C200" s="9">
        <f>[1]!AeroConvFtToMeter(lengthFeet)</f>
        <v>1851.9952800000001</v>
      </c>
      <c r="D200" s="8">
        <v>1851.9952800000001</v>
      </c>
      <c r="E200" s="10">
        <f t="shared" si="41"/>
        <v>0</v>
      </c>
    </row>
    <row r="201" spans="1:41" x14ac:dyDescent="0.25">
      <c r="B201" s="3" t="s">
        <v>175</v>
      </c>
      <c r="C201" s="9">
        <f>[1]!AeroConvFtToKm(lengthFeet)</f>
        <v>1.8519952800000001</v>
      </c>
      <c r="D201" s="8">
        <v>1.8519952800000001</v>
      </c>
      <c r="E201" s="10">
        <f t="shared" si="41"/>
        <v>0</v>
      </c>
    </row>
    <row r="202" spans="1:41" x14ac:dyDescent="0.25">
      <c r="B202" s="3" t="s">
        <v>72</v>
      </c>
      <c r="C202" s="9">
        <f>[1]!AeroConvNmToFt(D211)</f>
        <v>6076.1</v>
      </c>
      <c r="D202" s="8">
        <v>6076.1</v>
      </c>
      <c r="E202" s="10">
        <f t="shared" si="41"/>
        <v>0</v>
      </c>
    </row>
    <row r="203" spans="1:41" x14ac:dyDescent="0.25">
      <c r="B203" s="3" t="s">
        <v>178</v>
      </c>
      <c r="C203" s="9">
        <f>[1]!AeroConvNmToMile(D211)</f>
        <v>1.1507765151515152</v>
      </c>
      <c r="D203" s="8">
        <v>1.1507765151515152</v>
      </c>
      <c r="E203" s="10">
        <f t="shared" si="41"/>
        <v>0</v>
      </c>
    </row>
    <row r="204" spans="1:41" x14ac:dyDescent="0.25">
      <c r="B204" s="3" t="s">
        <v>179</v>
      </c>
      <c r="C204" s="9">
        <f>[1]!AeroConvNmToMeter(D211)</f>
        <v>1851.9952800000001</v>
      </c>
      <c r="D204" s="8">
        <v>1851.9952800000001</v>
      </c>
      <c r="E204" s="10">
        <f t="shared" si="41"/>
        <v>0</v>
      </c>
    </row>
    <row r="205" spans="1:41" x14ac:dyDescent="0.25">
      <c r="B205" s="3" t="s">
        <v>177</v>
      </c>
      <c r="C205" s="9">
        <f>[1]!AeroConvNmToKm(D211)</f>
        <v>1.8519952800000001</v>
      </c>
      <c r="D205" s="8">
        <v>1.8519952800000001</v>
      </c>
      <c r="E205" s="10">
        <f t="shared" si="41"/>
        <v>0</v>
      </c>
    </row>
    <row r="206" spans="1:41" x14ac:dyDescent="0.25">
      <c r="B206" s="3" t="s">
        <v>199</v>
      </c>
      <c r="C206" s="9">
        <f>[1]!AeroConvMileToFt(D212)</f>
        <v>6076.1</v>
      </c>
      <c r="D206" s="8">
        <v>6076.1</v>
      </c>
      <c r="E206" s="10">
        <f t="shared" si="41"/>
        <v>0</v>
      </c>
    </row>
    <row r="207" spans="1:41" x14ac:dyDescent="0.25">
      <c r="B207" s="3" t="s">
        <v>200</v>
      </c>
      <c r="C207" s="9">
        <f>[1]!AeroConvMileToNm(D199)</f>
        <v>0.99999745140388774</v>
      </c>
      <c r="D207" s="8">
        <v>0.99999745140388774</v>
      </c>
      <c r="E207" s="10">
        <f t="shared" si="41"/>
        <v>0</v>
      </c>
    </row>
    <row r="208" spans="1:41" x14ac:dyDescent="0.25">
      <c r="B208" s="3" t="s">
        <v>201</v>
      </c>
      <c r="C208" s="9">
        <f>[1]!AeroConvMileToMeter(D199)</f>
        <v>1851.9952800000001</v>
      </c>
      <c r="D208" s="8">
        <v>1851.9952800000001</v>
      </c>
      <c r="E208" s="10">
        <f t="shared" si="41"/>
        <v>0</v>
      </c>
    </row>
    <row r="209" spans="1:41" x14ac:dyDescent="0.25">
      <c r="B209" s="3" t="s">
        <v>202</v>
      </c>
      <c r="C209" s="9">
        <f>[1]!AeroConvMileToKm(D199)</f>
        <v>1.8519952800000001</v>
      </c>
      <c r="D209" s="8">
        <v>1.8519952800000001</v>
      </c>
      <c r="E209" s="10">
        <f t="shared" si="41"/>
        <v>0</v>
      </c>
    </row>
    <row r="210" spans="1:41" s="18" customFormat="1" x14ac:dyDescent="0.25">
      <c r="A210" s="7"/>
      <c r="B210" s="3" t="s">
        <v>195</v>
      </c>
      <c r="C210" s="9">
        <f>[1]!AeroConvMeterToFt(D200)</f>
        <v>6076.1</v>
      </c>
      <c r="D210" s="8">
        <v>6076.1</v>
      </c>
      <c r="E210" s="10">
        <f t="shared" si="41"/>
        <v>0</v>
      </c>
      <c r="G210" s="7"/>
      <c r="H210" s="3"/>
      <c r="I210" s="8"/>
      <c r="N210" s="7"/>
      <c r="O210" s="8"/>
      <c r="P210" s="8"/>
      <c r="Q210" s="8"/>
      <c r="T210" s="7"/>
      <c r="U210" s="8"/>
      <c r="V210" s="8"/>
      <c r="W210" s="8"/>
      <c r="Z210" s="7"/>
      <c r="AA210" s="8"/>
      <c r="AB210" s="8"/>
      <c r="AC210" s="8"/>
      <c r="AF210" s="7"/>
      <c r="AG210" s="8"/>
      <c r="AH210" s="8"/>
      <c r="AI210" s="8"/>
      <c r="AL210" s="7"/>
      <c r="AM210" s="8"/>
      <c r="AN210" s="8"/>
      <c r="AO210" s="8"/>
    </row>
    <row r="211" spans="1:41" s="18" customFormat="1" x14ac:dyDescent="0.25">
      <c r="A211" s="7"/>
      <c r="B211" s="3" t="s">
        <v>196</v>
      </c>
      <c r="C211" s="9">
        <f>[1]!AeroConvMeterToNm(D200)</f>
        <v>0.99999745140388774</v>
      </c>
      <c r="D211" s="8">
        <v>0.99999745140388774</v>
      </c>
      <c r="E211" s="10">
        <f t="shared" si="41"/>
        <v>0</v>
      </c>
      <c r="G211" s="7"/>
      <c r="H211" s="3"/>
      <c r="I211" s="8"/>
      <c r="N211" s="7"/>
      <c r="O211" s="8"/>
      <c r="P211" s="8"/>
      <c r="Q211" s="8"/>
      <c r="T211" s="7"/>
      <c r="U211" s="8"/>
      <c r="V211" s="8"/>
      <c r="W211" s="8"/>
      <c r="Z211" s="7"/>
      <c r="AA211" s="8"/>
      <c r="AB211" s="8"/>
      <c r="AC211" s="8"/>
      <c r="AF211" s="7"/>
      <c r="AG211" s="8"/>
      <c r="AH211" s="8"/>
      <c r="AI211" s="8"/>
      <c r="AL211" s="7"/>
      <c r="AM211" s="8"/>
      <c r="AN211" s="8"/>
      <c r="AO211" s="8"/>
    </row>
    <row r="212" spans="1:41" s="18" customFormat="1" x14ac:dyDescent="0.25">
      <c r="A212" s="7"/>
      <c r="B212" s="3" t="s">
        <v>198</v>
      </c>
      <c r="C212" s="9">
        <f>[1]!AeroConvMeterToMile(D200)</f>
        <v>1.1507765151515152</v>
      </c>
      <c r="D212" s="8">
        <v>1.1507765151515152</v>
      </c>
      <c r="E212" s="10">
        <f t="shared" si="41"/>
        <v>0</v>
      </c>
      <c r="G212" s="7"/>
      <c r="H212" s="3"/>
      <c r="I212" s="8"/>
      <c r="N212" s="7"/>
      <c r="O212" s="8"/>
      <c r="P212" s="8"/>
      <c r="Q212" s="8"/>
      <c r="T212" s="7"/>
      <c r="U212" s="8"/>
      <c r="V212" s="8"/>
      <c r="W212" s="8"/>
      <c r="Z212" s="7"/>
      <c r="AA212" s="8"/>
      <c r="AB212" s="8"/>
      <c r="AC212" s="8"/>
      <c r="AF212" s="7"/>
      <c r="AG212" s="8"/>
      <c r="AH212" s="8"/>
      <c r="AI212" s="8"/>
      <c r="AL212" s="7"/>
      <c r="AM212" s="8"/>
      <c r="AN212" s="8"/>
      <c r="AO212" s="8"/>
    </row>
    <row r="213" spans="1:41" s="18" customFormat="1" x14ac:dyDescent="0.25">
      <c r="A213" s="7"/>
      <c r="B213" s="3" t="s">
        <v>197</v>
      </c>
      <c r="C213" s="9">
        <f>[1]!AeroConvMeterToKm(D200)</f>
        <v>1.8519952800000001</v>
      </c>
      <c r="D213" s="8">
        <v>1.8519952800000001</v>
      </c>
      <c r="E213" s="10">
        <f t="shared" si="41"/>
        <v>0</v>
      </c>
      <c r="G213" s="7"/>
      <c r="H213" s="3"/>
      <c r="I213" s="8"/>
      <c r="N213" s="7"/>
      <c r="O213" s="8"/>
      <c r="P213" s="8"/>
      <c r="Q213" s="8"/>
      <c r="T213" s="7"/>
      <c r="U213" s="8"/>
      <c r="V213" s="8"/>
      <c r="W213" s="8"/>
      <c r="Z213" s="7"/>
      <c r="AA213" s="8"/>
      <c r="AB213" s="8"/>
      <c r="AC213" s="8"/>
      <c r="AF213" s="7"/>
      <c r="AG213" s="8"/>
      <c r="AH213" s="8"/>
      <c r="AI213" s="8"/>
      <c r="AL213" s="7"/>
      <c r="AM213" s="8"/>
      <c r="AN213" s="8"/>
      <c r="AO213" s="8"/>
    </row>
    <row r="214" spans="1:41" s="18" customFormat="1" x14ac:dyDescent="0.25">
      <c r="A214" s="7"/>
      <c r="B214" s="3" t="s">
        <v>203</v>
      </c>
      <c r="C214" s="9">
        <f>[1]!AeroConvKmToFt(D201)</f>
        <v>6076.1</v>
      </c>
      <c r="D214" s="8">
        <v>6076.1</v>
      </c>
      <c r="E214" s="10">
        <f t="shared" si="41"/>
        <v>0</v>
      </c>
      <c r="G214" s="7"/>
      <c r="H214" s="3"/>
      <c r="I214" s="8"/>
      <c r="N214" s="7"/>
      <c r="O214" s="8"/>
      <c r="P214" s="8"/>
      <c r="Q214" s="8"/>
      <c r="T214" s="7"/>
      <c r="U214" s="8"/>
      <c r="V214" s="8"/>
      <c r="W214" s="8"/>
      <c r="Z214" s="7"/>
      <c r="AA214" s="8"/>
      <c r="AB214" s="8"/>
      <c r="AC214" s="8"/>
      <c r="AF214" s="7"/>
      <c r="AG214" s="8"/>
      <c r="AH214" s="8"/>
      <c r="AI214" s="8"/>
      <c r="AL214" s="7"/>
      <c r="AM214" s="8"/>
      <c r="AN214" s="8"/>
      <c r="AO214" s="8"/>
    </row>
    <row r="215" spans="1:41" s="18" customFormat="1" x14ac:dyDescent="0.25">
      <c r="A215" s="7"/>
      <c r="B215" s="3" t="s">
        <v>204</v>
      </c>
      <c r="C215" s="9">
        <f>[1]!AeroConvKmToNm(D201)</f>
        <v>0.99999745140388774</v>
      </c>
      <c r="D215" s="8">
        <v>0.99999745140388774</v>
      </c>
      <c r="E215" s="10">
        <f t="shared" si="41"/>
        <v>0</v>
      </c>
      <c r="G215" s="7"/>
      <c r="H215" s="3"/>
      <c r="I215" s="8"/>
      <c r="N215" s="7"/>
      <c r="O215" s="8"/>
      <c r="P215" s="8"/>
      <c r="Q215" s="8"/>
      <c r="T215" s="7"/>
      <c r="U215" s="8"/>
      <c r="V215" s="8"/>
      <c r="W215" s="8"/>
      <c r="Z215" s="7"/>
      <c r="AA215" s="8"/>
      <c r="AB215" s="8"/>
      <c r="AC215" s="8"/>
      <c r="AF215" s="7"/>
      <c r="AG215" s="8"/>
      <c r="AH215" s="8"/>
      <c r="AI215" s="8"/>
      <c r="AL215" s="7"/>
      <c r="AM215" s="8"/>
      <c r="AN215" s="8"/>
      <c r="AO215" s="8"/>
    </row>
    <row r="216" spans="1:41" s="18" customFormat="1" x14ac:dyDescent="0.25">
      <c r="A216" s="7"/>
      <c r="B216" s="3" t="s">
        <v>205</v>
      </c>
      <c r="C216" s="9">
        <f>[1]!AeroConvKmToMile(D201)</f>
        <v>1.1507765151515152</v>
      </c>
      <c r="D216" s="8">
        <v>1.1507765151515152</v>
      </c>
      <c r="E216" s="10">
        <f t="shared" si="41"/>
        <v>0</v>
      </c>
      <c r="G216" s="7"/>
      <c r="H216" s="3"/>
      <c r="I216" s="8"/>
      <c r="N216" s="7"/>
      <c r="O216" s="8"/>
      <c r="P216" s="8"/>
      <c r="Q216" s="8"/>
      <c r="T216" s="7"/>
      <c r="U216" s="8"/>
      <c r="V216" s="8"/>
      <c r="W216" s="8"/>
      <c r="Z216" s="7"/>
      <c r="AA216" s="8"/>
      <c r="AB216" s="8"/>
      <c r="AC216" s="8"/>
      <c r="AF216" s="7"/>
      <c r="AG216" s="8"/>
      <c r="AH216" s="8"/>
      <c r="AI216" s="8"/>
      <c r="AL216" s="7"/>
      <c r="AM216" s="8"/>
      <c r="AN216" s="8"/>
      <c r="AO216" s="8"/>
    </row>
    <row r="217" spans="1:41" s="18" customFormat="1" x14ac:dyDescent="0.25">
      <c r="A217" s="7"/>
      <c r="B217" s="3" t="s">
        <v>206</v>
      </c>
      <c r="C217" s="9">
        <f>[1]!AeroConvKmToMeter(D201)</f>
        <v>1851.9952800000001</v>
      </c>
      <c r="D217" s="8">
        <v>1851.9952800000001</v>
      </c>
      <c r="E217" s="10">
        <f t="shared" si="41"/>
        <v>0</v>
      </c>
      <c r="G217" s="7"/>
      <c r="H217" s="3"/>
      <c r="I217" s="8"/>
      <c r="N217" s="7"/>
      <c r="O217" s="8"/>
      <c r="P217" s="8"/>
      <c r="Q217" s="8"/>
      <c r="T217" s="7"/>
      <c r="U217" s="8"/>
      <c r="V217" s="8"/>
      <c r="W217" s="8"/>
      <c r="Z217" s="7"/>
      <c r="AA217" s="8"/>
      <c r="AB217" s="8"/>
      <c r="AC217" s="8"/>
      <c r="AF217" s="7"/>
      <c r="AG217" s="8"/>
      <c r="AH217" s="8"/>
      <c r="AI217" s="8"/>
      <c r="AL217" s="7"/>
      <c r="AM217" s="8"/>
      <c r="AN217" s="8"/>
      <c r="AO217" s="8"/>
    </row>
    <row r="218" spans="1:41" x14ac:dyDescent="0.25">
      <c r="A218" s="7" t="s">
        <v>162</v>
      </c>
    </row>
    <row r="219" spans="1:41" x14ac:dyDescent="0.25">
      <c r="A219" s="6">
        <v>100</v>
      </c>
    </row>
    <row r="220" spans="1:41" x14ac:dyDescent="0.25">
      <c r="B220" s="3" t="s">
        <v>100</v>
      </c>
      <c r="C220" s="9">
        <f>[1]!AeroConvFtPerSecToKts(A219)</f>
        <v>59.248380129589592</v>
      </c>
      <c r="D220" s="8">
        <v>59.248380129589592</v>
      </c>
      <c r="E220" s="10">
        <f t="shared" ref="E220" si="42">(C220-D220)/D220*100</f>
        <v>0</v>
      </c>
    </row>
    <row r="221" spans="1:41" x14ac:dyDescent="0.25">
      <c r="B221" s="3" t="s">
        <v>187</v>
      </c>
      <c r="C221" s="9">
        <f>[1]!AeroConvFtPerSecToMilePerHr(A219)</f>
        <v>68.181818181818187</v>
      </c>
      <c r="D221" s="8">
        <v>68.181799999999996</v>
      </c>
      <c r="E221" s="10">
        <f>(C221-D221)/D221*100</f>
        <v>2.6666673791928385E-5</v>
      </c>
    </row>
    <row r="222" spans="1:41" x14ac:dyDescent="0.25">
      <c r="B222" s="3" t="s">
        <v>181</v>
      </c>
      <c r="C222" s="9">
        <f>[1]!AeroConvFtPerSecToMeterPerSec(A219)</f>
        <v>30.48</v>
      </c>
      <c r="D222" s="8">
        <v>30.48</v>
      </c>
      <c r="E222" s="10">
        <f>(C222-D222)/D222*100</f>
        <v>0</v>
      </c>
    </row>
    <row r="223" spans="1:41" x14ac:dyDescent="0.25">
      <c r="B223" s="3" t="s">
        <v>171</v>
      </c>
      <c r="C223" s="9">
        <f>[1]!AeroConvFtPerSecToKmPerHr(A219)</f>
        <v>109.72799999999999</v>
      </c>
      <c r="D223" s="8">
        <v>109.72799999999999</v>
      </c>
      <c r="E223" s="10">
        <f>(C223-D223)/D223*100</f>
        <v>0</v>
      </c>
    </row>
    <row r="224" spans="1:41" x14ac:dyDescent="0.25">
      <c r="B224" s="3" t="s">
        <v>101</v>
      </c>
      <c r="C224" s="9">
        <f>[1]!AeroConvKtsToFtPerSec(D220)</f>
        <v>100</v>
      </c>
      <c r="D224" s="8">
        <v>100</v>
      </c>
      <c r="E224" s="10">
        <f t="shared" ref="E224:E238" si="43">(C224-D224)/D224*100</f>
        <v>0</v>
      </c>
    </row>
    <row r="225" spans="1:5" x14ac:dyDescent="0.25">
      <c r="B225" s="3" t="s">
        <v>188</v>
      </c>
      <c r="C225" s="9">
        <f>[1]!AeroConvKtsToMilePerHr(D220)</f>
        <v>68.181818181818187</v>
      </c>
      <c r="D225" s="8">
        <v>68.181799999999996</v>
      </c>
      <c r="E225" s="10">
        <f t="shared" ref="E225:E237" si="44">(C225-D225)/D225*100</f>
        <v>2.6666673791928385E-5</v>
      </c>
    </row>
    <row r="226" spans="1:5" x14ac:dyDescent="0.25">
      <c r="B226" s="3" t="s">
        <v>182</v>
      </c>
      <c r="C226" s="9">
        <f>[1]!AeroConvKtsToMeterPerSec(D220)</f>
        <v>30.48</v>
      </c>
      <c r="D226" s="8">
        <v>30.48</v>
      </c>
      <c r="E226" s="10">
        <f t="shared" si="44"/>
        <v>0</v>
      </c>
    </row>
    <row r="227" spans="1:5" x14ac:dyDescent="0.25">
      <c r="B227" s="3" t="s">
        <v>172</v>
      </c>
      <c r="C227" s="9">
        <f>[1]!AeroConvKtsToKmPerHr(D220)</f>
        <v>109.72799999999992</v>
      </c>
      <c r="D227" s="8">
        <v>109.72799999999999</v>
      </c>
      <c r="E227" s="10">
        <f t="shared" si="44"/>
        <v>-6.4754915405375128E-14</v>
      </c>
    </row>
    <row r="228" spans="1:5" x14ac:dyDescent="0.25">
      <c r="B228" s="3" t="s">
        <v>193</v>
      </c>
      <c r="C228" s="9">
        <f>[1]!AeroConvMilePerHrToFtPerSec(D221)</f>
        <v>99.99997333333333</v>
      </c>
      <c r="D228" s="8">
        <v>100</v>
      </c>
      <c r="E228" s="10">
        <f t="shared" si="44"/>
        <v>-2.6666666670394079E-5</v>
      </c>
    </row>
    <row r="229" spans="1:5" x14ac:dyDescent="0.25">
      <c r="B229" s="3" t="s">
        <v>190</v>
      </c>
      <c r="C229" s="9">
        <f>[1]!AeroConvMilePerHrToKts(D221)</f>
        <v>59.248364330021559</v>
      </c>
      <c r="D229" s="8">
        <v>59.248380129589592</v>
      </c>
      <c r="E229" s="10">
        <f t="shared" si="44"/>
        <v>-2.6666666663276238E-5</v>
      </c>
    </row>
    <row r="230" spans="1:5" x14ac:dyDescent="0.25">
      <c r="B230" s="3" t="s">
        <v>191</v>
      </c>
      <c r="C230" s="9">
        <f>[1]!AeroConvMilePerHrToMeterPerSec(D221)</f>
        <v>30.479991871999999</v>
      </c>
      <c r="D230" s="8">
        <v>30.48</v>
      </c>
      <c r="E230" s="10">
        <f t="shared" si="44"/>
        <v>-2.6666666670114341E-5</v>
      </c>
    </row>
    <row r="231" spans="1:5" x14ac:dyDescent="0.25">
      <c r="B231" s="3" t="s">
        <v>192</v>
      </c>
      <c r="C231" s="9">
        <f>[1]!AeroConvMilePerHrToKmPerHr(D221)</f>
        <v>109.7279707392</v>
      </c>
      <c r="D231" s="8">
        <v>109.72799999999999</v>
      </c>
      <c r="E231" s="10">
        <f t="shared" si="44"/>
        <v>-2.6666666658458453E-5</v>
      </c>
    </row>
    <row r="232" spans="1:5" x14ac:dyDescent="0.25">
      <c r="B232" s="3" t="s">
        <v>184</v>
      </c>
      <c r="C232" s="9">
        <f>[1]!AeroConvMeterPerSecToFtPerSec(D222)</f>
        <v>100</v>
      </c>
      <c r="D232" s="8">
        <v>100</v>
      </c>
      <c r="E232" s="10">
        <f t="shared" si="44"/>
        <v>0</v>
      </c>
    </row>
    <row r="233" spans="1:5" x14ac:dyDescent="0.25">
      <c r="B233" s="3" t="s">
        <v>185</v>
      </c>
      <c r="C233" s="9">
        <f>[1]!AeroConvMeterPerSecToKts(D222)</f>
        <v>59.248380129589592</v>
      </c>
      <c r="D233" s="8">
        <v>59.248380129589592</v>
      </c>
      <c r="E233" s="10">
        <f t="shared" si="44"/>
        <v>0</v>
      </c>
    </row>
    <row r="234" spans="1:5" x14ac:dyDescent="0.25">
      <c r="B234" s="3" t="s">
        <v>189</v>
      </c>
      <c r="C234" s="9">
        <f>[1]!AeroConvMeterPerSecToMilePerHr(D222)</f>
        <v>68.181818181818187</v>
      </c>
      <c r="D234" s="8">
        <v>68.181799999999996</v>
      </c>
      <c r="E234" s="10">
        <f t="shared" si="44"/>
        <v>2.6666673791928385E-5</v>
      </c>
    </row>
    <row r="235" spans="1:5" x14ac:dyDescent="0.25">
      <c r="B235" s="3" t="s">
        <v>183</v>
      </c>
      <c r="C235" s="9">
        <f>[1]!AeroConvMeterPerSecToKmPerHr(D222)</f>
        <v>109.72799999999999</v>
      </c>
      <c r="D235" s="8">
        <v>109.72799999999999</v>
      </c>
      <c r="E235" s="10">
        <f t="shared" si="44"/>
        <v>0</v>
      </c>
    </row>
    <row r="236" spans="1:5" x14ac:dyDescent="0.25">
      <c r="B236" s="3" t="s">
        <v>174</v>
      </c>
      <c r="C236" s="9">
        <f>[1]!AeroConvKmPerHrToFtPerSec(D223)</f>
        <v>100</v>
      </c>
      <c r="D236" s="8">
        <v>100</v>
      </c>
      <c r="E236" s="10">
        <f t="shared" si="44"/>
        <v>0</v>
      </c>
    </row>
    <row r="237" spans="1:5" x14ac:dyDescent="0.25">
      <c r="B237" s="3" t="s">
        <v>173</v>
      </c>
      <c r="C237" s="9">
        <f>[1]!AeroConvKmPerHrToKts(D223)</f>
        <v>59.248380129589634</v>
      </c>
      <c r="D237" s="8">
        <v>59.248380129589592</v>
      </c>
      <c r="E237" s="10">
        <f t="shared" si="44"/>
        <v>7.1955661998452888E-14</v>
      </c>
    </row>
    <row r="238" spans="1:5" x14ac:dyDescent="0.25">
      <c r="B238" s="3" t="s">
        <v>194</v>
      </c>
      <c r="C238" s="9">
        <f>[1]!AeroConvKmPerHrToMilePerHr(D223)</f>
        <v>68.181818181818187</v>
      </c>
      <c r="D238" s="8">
        <v>68.181799999999996</v>
      </c>
      <c r="E238" s="10">
        <f t="shared" si="43"/>
        <v>2.6666673791928385E-5</v>
      </c>
    </row>
    <row r="239" spans="1:5" x14ac:dyDescent="0.25">
      <c r="B239" s="3" t="s">
        <v>186</v>
      </c>
      <c r="C239" s="9">
        <f>[1]!AeroConvKmPerHrToMeterPerSec(D223)</f>
        <v>30.48</v>
      </c>
      <c r="D239" s="8">
        <v>30.48</v>
      </c>
      <c r="E239" s="10">
        <f>(C239-D239)/D239*100</f>
        <v>0</v>
      </c>
    </row>
    <row r="240" spans="1:5" x14ac:dyDescent="0.25">
      <c r="A240" s="7" t="s">
        <v>161</v>
      </c>
    </row>
    <row r="241" spans="1:5" x14ac:dyDescent="0.25">
      <c r="A241" s="6">
        <v>45</v>
      </c>
    </row>
    <row r="242" spans="1:5" x14ac:dyDescent="0.25">
      <c r="B242" s="3" t="s">
        <v>148</v>
      </c>
      <c r="C242" s="9">
        <f>[1]!AeroConvDegToRad(A241)</f>
        <v>0.78539816339744828</v>
      </c>
      <c r="D242" s="8">
        <v>0.78539816339744828</v>
      </c>
      <c r="E242" s="10">
        <f t="shared" ref="E242:E243" si="45">(C242-D242)/D242*100</f>
        <v>0</v>
      </c>
    </row>
    <row r="243" spans="1:5" x14ac:dyDescent="0.25">
      <c r="B243" s="3" t="s">
        <v>149</v>
      </c>
      <c r="C243" s="9">
        <f>[1]!AeroConvRadToDeg(D242)</f>
        <v>45</v>
      </c>
      <c r="D243" s="8">
        <v>45</v>
      </c>
      <c r="E243" s="10">
        <f t="shared" si="45"/>
        <v>0</v>
      </c>
    </row>
    <row r="244" spans="1:5" x14ac:dyDescent="0.25">
      <c r="A244" s="7" t="s">
        <v>107</v>
      </c>
    </row>
    <row r="245" spans="1:5" x14ac:dyDescent="0.25">
      <c r="A245" s="6">
        <v>27.614699999999999</v>
      </c>
    </row>
    <row r="246" spans="1:5" x14ac:dyDescent="0.25">
      <c r="B246" s="3" t="s">
        <v>119</v>
      </c>
      <c r="C246" s="9">
        <f>[1]!AeroConvLbfPerFt2ToLbfPerInch2(D252)</f>
        <v>0.40051736160984092</v>
      </c>
      <c r="D246" s="8">
        <v>0.40051736160984092</v>
      </c>
      <c r="E246" s="10">
        <f t="shared" ref="E246:E257" si="46">(C246-D246)/D246*100</f>
        <v>0</v>
      </c>
    </row>
    <row r="247" spans="1:5" x14ac:dyDescent="0.25">
      <c r="B247" s="3" t="s">
        <v>118</v>
      </c>
      <c r="C247" s="9">
        <f>[1]!AeroConvLbfPerFt2ToInHg(D252)</f>
        <v>0.81546154325448139</v>
      </c>
      <c r="D247" s="8">
        <v>0.81546154325448139</v>
      </c>
      <c r="E247" s="10">
        <f t="shared" si="46"/>
        <v>0</v>
      </c>
    </row>
    <row r="248" spans="1:5" x14ac:dyDescent="0.25">
      <c r="B248" s="3" t="s">
        <v>117</v>
      </c>
      <c r="C248" s="9">
        <f>[1]!AeroConvLbfPerFt2ToHPa(D252)</f>
        <v>27.614699999999999</v>
      </c>
      <c r="D248" s="8">
        <f>A245</f>
        <v>27.614699999999999</v>
      </c>
      <c r="E248" s="10">
        <f t="shared" si="46"/>
        <v>0</v>
      </c>
    </row>
    <row r="249" spans="1:5" x14ac:dyDescent="0.25">
      <c r="B249" s="3" t="s">
        <v>122</v>
      </c>
      <c r="C249" s="9">
        <f>[1]!AeroConvLbfPerInch2ToLbfPerFt2(D246)</f>
        <v>57.674500071817093</v>
      </c>
      <c r="D249" s="8">
        <v>57.674500071817093</v>
      </c>
      <c r="E249" s="10">
        <f t="shared" si="46"/>
        <v>0</v>
      </c>
    </row>
    <row r="250" spans="1:5" x14ac:dyDescent="0.25">
      <c r="B250" s="3" t="s">
        <v>121</v>
      </c>
      <c r="C250" s="9">
        <f>[1]!AeroConvLbfPerInch2ToInHg(D246)</f>
        <v>0.81546154325448139</v>
      </c>
      <c r="D250" s="8">
        <v>0.81546154325448139</v>
      </c>
      <c r="E250" s="10">
        <f t="shared" si="46"/>
        <v>0</v>
      </c>
    </row>
    <row r="251" spans="1:5" x14ac:dyDescent="0.25">
      <c r="B251" s="3" t="s">
        <v>120</v>
      </c>
      <c r="C251" s="9">
        <f>[1]!AeroConvLbfPerInch2ToHPa(D246)</f>
        <v>27.614699999999999</v>
      </c>
      <c r="D251" s="8">
        <f>A245</f>
        <v>27.614699999999999</v>
      </c>
      <c r="E251" s="10">
        <f t="shared" si="46"/>
        <v>0</v>
      </c>
    </row>
    <row r="252" spans="1:5" x14ac:dyDescent="0.25">
      <c r="B252" s="3" t="s">
        <v>115</v>
      </c>
      <c r="C252" s="9">
        <f>[1]!AeroConvInHgToLbfPerFt2(D257)</f>
        <v>57.674500071817093</v>
      </c>
      <c r="D252" s="8">
        <v>57.674500071817093</v>
      </c>
      <c r="E252" s="10">
        <f t="shared" si="46"/>
        <v>0</v>
      </c>
    </row>
    <row r="253" spans="1:5" x14ac:dyDescent="0.25">
      <c r="B253" s="3" t="s">
        <v>116</v>
      </c>
      <c r="C253" s="9">
        <f>[1]!AeroConvInHgToLbfPerInch2(D257)</f>
        <v>0.40051736160984092</v>
      </c>
      <c r="D253" s="8">
        <v>0.40051736160984092</v>
      </c>
      <c r="E253" s="10">
        <f t="shared" si="46"/>
        <v>0</v>
      </c>
    </row>
    <row r="254" spans="1:5" x14ac:dyDescent="0.25">
      <c r="B254" s="3" t="s">
        <v>114</v>
      </c>
      <c r="C254" s="9">
        <f>[1]!AeroConvInHgToHPa(D257)</f>
        <v>27.614699999999999</v>
      </c>
      <c r="D254" s="8">
        <f>A245</f>
        <v>27.614699999999999</v>
      </c>
      <c r="E254" s="10">
        <f t="shared" si="46"/>
        <v>0</v>
      </c>
    </row>
    <row r="255" spans="1:5" x14ac:dyDescent="0.25">
      <c r="B255" s="3" t="s">
        <v>112</v>
      </c>
      <c r="C255" s="9">
        <f>[1]!AeroConvHPaToLbfPerFt2(A245)</f>
        <v>57.674500071817093</v>
      </c>
      <c r="D255" s="8">
        <v>57.674500071817093</v>
      </c>
      <c r="E255" s="10">
        <f t="shared" si="46"/>
        <v>0</v>
      </c>
    </row>
    <row r="256" spans="1:5" x14ac:dyDescent="0.25">
      <c r="B256" s="3" t="s">
        <v>113</v>
      </c>
      <c r="C256" s="9">
        <f>[1]!AeroConvHPaToLbfPerInch2(A245)</f>
        <v>0.40051736160984092</v>
      </c>
      <c r="D256" s="8">
        <v>0.40051736160984092</v>
      </c>
      <c r="E256" s="10">
        <f t="shared" si="46"/>
        <v>0</v>
      </c>
    </row>
    <row r="257" spans="1:5" x14ac:dyDescent="0.25">
      <c r="B257" s="3" t="s">
        <v>111</v>
      </c>
      <c r="C257" s="9">
        <f>[1]!AeroConvHPaToInHg(A245)</f>
        <v>0.81546154325448139</v>
      </c>
      <c r="D257" s="8">
        <v>0.81546154325448139</v>
      </c>
      <c r="E257" s="10">
        <f t="shared" si="46"/>
        <v>0</v>
      </c>
    </row>
    <row r="259" spans="1:5" x14ac:dyDescent="0.25">
      <c r="B259" s="3" t="s">
        <v>125</v>
      </c>
      <c r="C259" s="9">
        <f>[1]!AeroHp_ft_fPstaticLbPerFt2(D255)</f>
        <v>80000.036833259204</v>
      </c>
      <c r="D259" s="8">
        <v>80000.036833259204</v>
      </c>
      <c r="E259" s="10">
        <f>(C259-D259)/D259*100</f>
        <v>0</v>
      </c>
    </row>
    <row r="260" spans="1:5" x14ac:dyDescent="0.25">
      <c r="B260" s="3" t="s">
        <v>126</v>
      </c>
      <c r="C260" s="9">
        <f>[1]!AeroHp_ft_fPstaticLbPerInch2(D256)</f>
        <v>80000.036833259204</v>
      </c>
      <c r="D260" s="8">
        <v>80000.036833259204</v>
      </c>
      <c r="E260" s="10">
        <f>(C260-D260)/D260*100</f>
        <v>0</v>
      </c>
    </row>
    <row r="261" spans="1:5" x14ac:dyDescent="0.25">
      <c r="B261" s="3" t="s">
        <v>124</v>
      </c>
      <c r="C261" s="9">
        <f>[1]!AeroHp_ft_fPstaticInHg(D257)</f>
        <v>80000.036833259204</v>
      </c>
      <c r="D261" s="8">
        <v>80000.036833259204</v>
      </c>
      <c r="E261" s="10">
        <f>(C261-D261)/D261*100</f>
        <v>0</v>
      </c>
    </row>
    <row r="262" spans="1:5" x14ac:dyDescent="0.25">
      <c r="B262" s="3" t="s">
        <v>123</v>
      </c>
      <c r="C262" s="9">
        <f>[1]!AeroHp_ft_fPstaticHPa(A245)</f>
        <v>80000.036833259204</v>
      </c>
      <c r="D262" s="8">
        <v>80000.036833259204</v>
      </c>
      <c r="E262" s="10">
        <f>(C262-D262)/D262*100</f>
        <v>0</v>
      </c>
    </row>
    <row r="263" spans="1:5" x14ac:dyDescent="0.25">
      <c r="B263" s="3" t="s">
        <v>127</v>
      </c>
      <c r="C263" s="9">
        <f>[1]!AeroHp_ft_fQfeHPa(A245)</f>
        <v>80000.036833259204</v>
      </c>
      <c r="D263" s="8">
        <v>80000.036833259204</v>
      </c>
      <c r="E263" s="10">
        <f t="shared" ref="E263:E266" si="47">(C263-D263)/D263*100</f>
        <v>0</v>
      </c>
    </row>
    <row r="264" spans="1:5" x14ac:dyDescent="0.25">
      <c r="B264" s="3" t="s">
        <v>128</v>
      </c>
      <c r="C264" s="9">
        <f>[1]!AeroHp_ft_fQfeInHg(D257)</f>
        <v>80000.036833259204</v>
      </c>
      <c r="D264" s="8">
        <v>80000.036833259204</v>
      </c>
      <c r="E264" s="10">
        <f t="shared" si="47"/>
        <v>0</v>
      </c>
    </row>
    <row r="265" spans="1:5" x14ac:dyDescent="0.25">
      <c r="B265" s="3" t="s">
        <v>129</v>
      </c>
      <c r="C265" s="9">
        <f>[1]!AeroHp_ft_fQfeLbPerFt2(D255)</f>
        <v>80000.036833259204</v>
      </c>
      <c r="D265" s="8">
        <v>80000.036833259204</v>
      </c>
      <c r="E265" s="10">
        <f t="shared" si="47"/>
        <v>0</v>
      </c>
    </row>
    <row r="266" spans="1:5" x14ac:dyDescent="0.25">
      <c r="B266" s="3" t="s">
        <v>130</v>
      </c>
      <c r="C266" s="9">
        <f>[1]!AeroHp_ft_fQfeLbPerInch2(D256)</f>
        <v>80000.036833259204</v>
      </c>
      <c r="D266" s="8">
        <v>80000.036833259204</v>
      </c>
      <c r="E266" s="10">
        <f t="shared" si="47"/>
        <v>0</v>
      </c>
    </row>
    <row r="267" spans="1:5" x14ac:dyDescent="0.25">
      <c r="A267" s="7" t="s">
        <v>160</v>
      </c>
    </row>
    <row r="268" spans="1:5" x14ac:dyDescent="0.25">
      <c r="A268" s="6">
        <v>152</v>
      </c>
      <c r="B268" s="12" t="s">
        <v>99</v>
      </c>
      <c r="C268" s="16">
        <f>[1]!AeroConvFtPerNmToPctGrad(A268)</f>
        <v>2.5015982721382288</v>
      </c>
      <c r="D268" s="8">
        <v>2.5015982721382288</v>
      </c>
      <c r="E268" s="10">
        <f t="shared" ref="E268:E273" si="48">(C268-D268)/D268*100</f>
        <v>0</v>
      </c>
    </row>
    <row r="269" spans="1:5" x14ac:dyDescent="0.25">
      <c r="B269" s="12" t="s">
        <v>73</v>
      </c>
      <c r="C269" s="16">
        <f>[1]!AeroConvPctGradToFtPerNm(D268)</f>
        <v>152</v>
      </c>
      <c r="D269" s="8">
        <f>A268</f>
        <v>152</v>
      </c>
      <c r="E269" s="10">
        <f t="shared" si="48"/>
        <v>0</v>
      </c>
    </row>
    <row r="270" spans="1:5" x14ac:dyDescent="0.25">
      <c r="B270" s="12" t="s">
        <v>74</v>
      </c>
      <c r="C270" s="16">
        <f>[1]!AeroConvPctGradToDeg(D268)</f>
        <v>1.4330113542979013</v>
      </c>
      <c r="D270" s="8">
        <v>1.4330113542979013</v>
      </c>
      <c r="E270" s="10">
        <f t="shared" si="48"/>
        <v>0</v>
      </c>
    </row>
    <row r="271" spans="1:5" x14ac:dyDescent="0.25">
      <c r="B271" s="12" t="s">
        <v>75</v>
      </c>
      <c r="C271" s="16">
        <f>[1]!AeroConvDegToPctGrad(D270)</f>
        <v>2.5015982721382288</v>
      </c>
      <c r="D271" s="8">
        <v>2.5015982721382288</v>
      </c>
      <c r="E271" s="10">
        <f t="shared" si="48"/>
        <v>0</v>
      </c>
    </row>
    <row r="272" spans="1:5" x14ac:dyDescent="0.25">
      <c r="B272" s="12" t="s">
        <v>76</v>
      </c>
      <c r="C272" s="16">
        <f>[1]!AeroConvFtPerNmToDeg(A268)</f>
        <v>1.4330113542979013</v>
      </c>
      <c r="D272" s="8">
        <v>1.4330113542979013</v>
      </c>
      <c r="E272" s="10">
        <f t="shared" si="48"/>
        <v>0</v>
      </c>
    </row>
    <row r="273" spans="1:5" x14ac:dyDescent="0.25">
      <c r="B273" s="12" t="s">
        <v>77</v>
      </c>
      <c r="C273" s="16">
        <f>[1]!AeroConvDegToFtPerNm(D270)</f>
        <v>151.99999999999997</v>
      </c>
      <c r="D273" s="8">
        <f>A268</f>
        <v>152</v>
      </c>
      <c r="E273" s="10">
        <f t="shared" si="48"/>
        <v>-1.8698493046318424E-14</v>
      </c>
    </row>
    <row r="274" spans="1:5" x14ac:dyDescent="0.25">
      <c r="A274" s="7" t="s">
        <v>164</v>
      </c>
    </row>
    <row r="275" spans="1:5" x14ac:dyDescent="0.25">
      <c r="A275" s="6">
        <f>[1]!AeroRhoStdDay_SlugPerft3_fHp(0)</f>
        <v>2.37689240667515E-3</v>
      </c>
      <c r="B275" s="3" t="s">
        <v>165</v>
      </c>
      <c r="C275" s="9">
        <f>[1]!AeroConvSlugPerFt3ToKgPerMeter3(A275)</f>
        <v>1.2249999999999988</v>
      </c>
      <c r="D275" s="8">
        <v>1.2249999999999988</v>
      </c>
      <c r="E275" s="10">
        <f t="shared" ref="E275:E276" si="49">(C275-D275)/D275*100</f>
        <v>0</v>
      </c>
    </row>
    <row r="276" spans="1:5" x14ac:dyDescent="0.25">
      <c r="B276" s="3" t="s">
        <v>165</v>
      </c>
      <c r="C276" s="9">
        <f>[1]!AeroConvKgPerMeter3ToSlugPerFt3(D275)</f>
        <v>2.37689240667515E-3</v>
      </c>
      <c r="D276" s="8">
        <f>A275</f>
        <v>2.37689240667515E-3</v>
      </c>
      <c r="E276" s="10">
        <f t="shared" si="49"/>
        <v>0</v>
      </c>
    </row>
    <row r="277" spans="1:5" x14ac:dyDescent="0.25">
      <c r="A277" s="7" t="s">
        <v>217</v>
      </c>
    </row>
    <row r="278" spans="1:5" x14ac:dyDescent="0.25">
      <c r="A278" s="6">
        <v>1</v>
      </c>
      <c r="B278" s="12" t="s">
        <v>218</v>
      </c>
      <c r="C278" s="16">
        <f>[1]!AeroConvLbfToNewton(A278)</f>
        <v>4.4482216152604996</v>
      </c>
      <c r="D278" s="8">
        <v>4.4482216152604996</v>
      </c>
      <c r="E278" s="10">
        <f t="shared" ref="E278:E341" si="50">(C278-D278)/D278*100</f>
        <v>0</v>
      </c>
    </row>
    <row r="279" spans="1:5" x14ac:dyDescent="0.25">
      <c r="B279" s="12" t="s">
        <v>219</v>
      </c>
      <c r="C279" s="16">
        <f>[1]!AeroConvLbfToKiloNewton(A278)</f>
        <v>4.4482216152604993E-3</v>
      </c>
      <c r="D279" s="8">
        <f>D278/1000</f>
        <v>4.4482216152604993E-3</v>
      </c>
      <c r="E279" s="10">
        <f t="shared" si="50"/>
        <v>0</v>
      </c>
    </row>
    <row r="280" spans="1:5" x14ac:dyDescent="0.25">
      <c r="B280" s="12" t="s">
        <v>220</v>
      </c>
      <c r="C280" s="16">
        <f>[1]!AeroConvNewtonToLbf(D278)</f>
        <v>1</v>
      </c>
      <c r="D280" s="8">
        <v>1</v>
      </c>
      <c r="E280" s="10">
        <f t="shared" si="50"/>
        <v>0</v>
      </c>
    </row>
    <row r="281" spans="1:5" x14ac:dyDescent="0.25">
      <c r="B281" s="12" t="s">
        <v>221</v>
      </c>
      <c r="C281" s="16">
        <f>[1]!AeroConvNewtonToKiloNewton(D278)</f>
        <v>4.4482216152604993E-3</v>
      </c>
      <c r="D281" s="8">
        <f>D279</f>
        <v>4.4482216152604993E-3</v>
      </c>
      <c r="E281" s="10">
        <f t="shared" si="50"/>
        <v>0</v>
      </c>
    </row>
    <row r="282" spans="1:5" x14ac:dyDescent="0.25">
      <c r="B282" s="12" t="s">
        <v>222</v>
      </c>
      <c r="C282" s="16">
        <f>[1]!AeroConvKiloNewtonToLbf(D279)</f>
        <v>1</v>
      </c>
      <c r="D282" s="8">
        <v>1</v>
      </c>
      <c r="E282" s="10">
        <f t="shared" si="50"/>
        <v>0</v>
      </c>
    </row>
    <row r="283" spans="1:5" x14ac:dyDescent="0.25">
      <c r="B283" s="12" t="s">
        <v>223</v>
      </c>
      <c r="C283" s="16">
        <f>[1]!AeroConvKiloNewtonToNewton(D279)</f>
        <v>4.4482216152604996</v>
      </c>
      <c r="D283" s="8">
        <f>D278</f>
        <v>4.4482216152604996</v>
      </c>
      <c r="E283" s="10">
        <f t="shared" si="50"/>
        <v>0</v>
      </c>
    </row>
    <row r="284" spans="1:5" x14ac:dyDescent="0.25">
      <c r="A284" s="7" t="s">
        <v>224</v>
      </c>
    </row>
    <row r="285" spans="1:5" x14ac:dyDescent="0.25">
      <c r="A285" s="6">
        <v>1</v>
      </c>
      <c r="B285" s="12" t="s">
        <v>225</v>
      </c>
      <c r="C285" s="16">
        <f>[1]!AeroConvLbfFtToLbfInch(A285)</f>
        <v>12</v>
      </c>
      <c r="D285" s="8">
        <v>12</v>
      </c>
      <c r="E285" s="10">
        <f t="shared" si="50"/>
        <v>0</v>
      </c>
    </row>
    <row r="286" spans="1:5" x14ac:dyDescent="0.25">
      <c r="B286" s="12" t="s">
        <v>226</v>
      </c>
      <c r="C286" s="16">
        <f>[1]!AeroConvLbfFtToNewtonMeter(A285)</f>
        <v>1.3558179483314003</v>
      </c>
      <c r="D286" s="8">
        <f>A285*D278*0.3048</f>
        <v>1.3558179483314003</v>
      </c>
      <c r="E286" s="10">
        <f t="shared" si="50"/>
        <v>0</v>
      </c>
    </row>
    <row r="287" spans="1:5" x14ac:dyDescent="0.25">
      <c r="B287" s="12" t="s">
        <v>227</v>
      </c>
      <c r="C287" s="16">
        <f>[1]!AeroConvLbfInchToLbfFt(D285)</f>
        <v>1</v>
      </c>
      <c r="D287" s="8">
        <f>A285</f>
        <v>1</v>
      </c>
      <c r="E287" s="10">
        <f t="shared" si="50"/>
        <v>0</v>
      </c>
    </row>
    <row r="288" spans="1:5" x14ac:dyDescent="0.25">
      <c r="B288" s="12" t="s">
        <v>228</v>
      </c>
      <c r="C288" s="16">
        <f>[1]!AeroConvLbfInchToNewtonMeter(D285)</f>
        <v>1.3558179483314003</v>
      </c>
      <c r="D288" s="8">
        <f>D286</f>
        <v>1.3558179483314003</v>
      </c>
      <c r="E288" s="10">
        <f t="shared" si="50"/>
        <v>0</v>
      </c>
    </row>
    <row r="289" spans="1:5" x14ac:dyDescent="0.25">
      <c r="B289" s="12" t="s">
        <v>229</v>
      </c>
      <c r="C289" s="16">
        <f>[1]!AeroConvNewtonMeterToLbfFt(D286)</f>
        <v>1</v>
      </c>
      <c r="D289" s="8">
        <f>A285</f>
        <v>1</v>
      </c>
      <c r="E289" s="10">
        <f t="shared" si="50"/>
        <v>0</v>
      </c>
    </row>
    <row r="290" spans="1:5" x14ac:dyDescent="0.25">
      <c r="B290" s="12" t="s">
        <v>230</v>
      </c>
      <c r="C290" s="16">
        <f>[1]!AeroConvNewtonMeterToLbfInch(D286)</f>
        <v>12</v>
      </c>
      <c r="D290" s="8">
        <f>D285</f>
        <v>12</v>
      </c>
      <c r="E290" s="10">
        <f t="shared" si="50"/>
        <v>0</v>
      </c>
    </row>
    <row r="291" spans="1:5" x14ac:dyDescent="0.25">
      <c r="A291" s="7" t="s">
        <v>231</v>
      </c>
    </row>
    <row r="292" spans="1:5" x14ac:dyDescent="0.25">
      <c r="A292" s="6">
        <v>550</v>
      </c>
      <c r="B292" s="3" t="s">
        <v>232</v>
      </c>
      <c r="C292" s="24">
        <f>[1]!AeroConvFtLbfPerSecToHorsepower(A292)</f>
        <v>1</v>
      </c>
      <c r="D292" s="8">
        <v>1</v>
      </c>
      <c r="E292" s="10">
        <f t="shared" si="50"/>
        <v>0</v>
      </c>
    </row>
    <row r="293" spans="1:5" x14ac:dyDescent="0.25">
      <c r="B293" s="3" t="s">
        <v>233</v>
      </c>
      <c r="C293" s="24">
        <f>[1]!AeroConvFtLbfPerSecToWatt(A292)</f>
        <v>745.69987158227025</v>
      </c>
      <c r="D293" s="8">
        <v>745.69987158227002</v>
      </c>
      <c r="E293" s="10">
        <f t="shared" si="50"/>
        <v>3.0491312136178485E-14</v>
      </c>
    </row>
    <row r="294" spans="1:5" x14ac:dyDescent="0.25">
      <c r="B294" s="3" t="s">
        <v>234</v>
      </c>
      <c r="C294" s="24">
        <f>[1]!AeroConvFtLbfPerSecToKilowatt(A292)</f>
        <v>0.74569987158227025</v>
      </c>
      <c r="D294" s="8">
        <f>D293/1000</f>
        <v>0.74569987158227002</v>
      </c>
      <c r="E294" s="10">
        <f t="shared" si="50"/>
        <v>2.97766720079868E-14</v>
      </c>
    </row>
    <row r="295" spans="1:5" x14ac:dyDescent="0.25">
      <c r="B295" s="3" t="s">
        <v>235</v>
      </c>
      <c r="C295" s="24">
        <f>[1]!AeroConvHorsepowerToFtLbfPerSec(D292)</f>
        <v>550</v>
      </c>
      <c r="D295" s="8">
        <v>550</v>
      </c>
      <c r="E295" s="10">
        <f t="shared" si="50"/>
        <v>0</v>
      </c>
    </row>
    <row r="296" spans="1:5" x14ac:dyDescent="0.25">
      <c r="B296" s="3" t="s">
        <v>236</v>
      </c>
      <c r="C296" s="24">
        <f>[1]!AeroConvHorsepowerToWatt(D292)</f>
        <v>745.69987158227025</v>
      </c>
      <c r="D296" s="8">
        <f>D293</f>
        <v>745.69987158227002</v>
      </c>
      <c r="E296" s="10">
        <f t="shared" si="50"/>
        <v>3.0491312136178485E-14</v>
      </c>
    </row>
    <row r="297" spans="1:5" x14ac:dyDescent="0.25">
      <c r="B297" s="3" t="s">
        <v>237</v>
      </c>
      <c r="C297" s="24">
        <f>[1]!AeroConvHorsepowerToKilowatt(D292)</f>
        <v>0.74569987158227025</v>
      </c>
      <c r="D297" s="8">
        <f>D294</f>
        <v>0.74569987158227002</v>
      </c>
      <c r="E297" s="10">
        <f t="shared" si="50"/>
        <v>2.97766720079868E-14</v>
      </c>
    </row>
    <row r="298" spans="1:5" x14ac:dyDescent="0.25">
      <c r="B298" s="3" t="s">
        <v>238</v>
      </c>
      <c r="C298" s="24">
        <f>[1]!AeroConvWattToFtLbfPerSec(D293)</f>
        <v>549.99999999999989</v>
      </c>
      <c r="D298" s="8">
        <v>550</v>
      </c>
      <c r="E298" s="10">
        <f t="shared" si="50"/>
        <v>-2.0670334131202915E-14</v>
      </c>
    </row>
    <row r="299" spans="1:5" x14ac:dyDescent="0.25">
      <c r="B299" s="3" t="s">
        <v>239</v>
      </c>
      <c r="C299" s="24">
        <f>[1]!AeroConvWattToHorsepower(D293)</f>
        <v>0.99999999999999978</v>
      </c>
      <c r="D299" s="8">
        <f>D292</f>
        <v>1</v>
      </c>
      <c r="E299" s="10">
        <f t="shared" si="50"/>
        <v>-2.2204460492503131E-14</v>
      </c>
    </row>
    <row r="300" spans="1:5" x14ac:dyDescent="0.25">
      <c r="B300" s="3" t="s">
        <v>240</v>
      </c>
      <c r="C300" s="24">
        <f>[1]!AeroConvWattToKilowatt(D293)</f>
        <v>0.74569987158227002</v>
      </c>
      <c r="D300" s="8">
        <f>D294</f>
        <v>0.74569987158227002</v>
      </c>
      <c r="E300" s="10">
        <f t="shared" si="50"/>
        <v>0</v>
      </c>
    </row>
    <row r="301" spans="1:5" x14ac:dyDescent="0.25">
      <c r="B301" s="3" t="s">
        <v>241</v>
      </c>
      <c r="C301" s="24">
        <f>[1]!AeroConvKilowattToFtLbfPerSec(D294)</f>
        <v>549.99999999999989</v>
      </c>
      <c r="D301" s="8">
        <v>550</v>
      </c>
      <c r="E301" s="10">
        <f t="shared" si="50"/>
        <v>-2.0670334131202915E-14</v>
      </c>
    </row>
    <row r="302" spans="1:5" x14ac:dyDescent="0.25">
      <c r="B302" s="3" t="s">
        <v>242</v>
      </c>
      <c r="C302" s="24">
        <f>[1]!AeroConvKilowattToHorsepower(D294)</f>
        <v>0.99999999999999978</v>
      </c>
      <c r="D302" s="8">
        <f>D292</f>
        <v>1</v>
      </c>
      <c r="E302" s="10">
        <f t="shared" si="50"/>
        <v>-2.2204460492503131E-14</v>
      </c>
    </row>
    <row r="303" spans="1:5" x14ac:dyDescent="0.25">
      <c r="B303" s="3" t="s">
        <v>243</v>
      </c>
      <c r="C303" s="24">
        <f>[1]!AeroConvKilowattToWatt(D294)</f>
        <v>745.69987158227002</v>
      </c>
      <c r="D303" s="8">
        <f>D293</f>
        <v>745.69987158227002</v>
      </c>
      <c r="E303" s="10">
        <f t="shared" si="50"/>
        <v>0</v>
      </c>
    </row>
    <row r="304" spans="1:5" x14ac:dyDescent="0.25">
      <c r="A304" s="7" t="s">
        <v>244</v>
      </c>
    </row>
    <row r="305" spans="1:5" x14ac:dyDescent="0.25">
      <c r="A305" s="6">
        <v>1</v>
      </c>
      <c r="B305" s="3" t="s">
        <v>286</v>
      </c>
      <c r="C305" s="26">
        <f>[1]!AeroConvLbmToSlug(A305)</f>
        <v>3.1080950171567298E-2</v>
      </c>
      <c r="D305" s="8">
        <v>3.1080950171567298E-2</v>
      </c>
      <c r="E305" s="10">
        <f t="shared" si="50"/>
        <v>0</v>
      </c>
    </row>
    <row r="306" spans="1:5" x14ac:dyDescent="0.25">
      <c r="B306" s="3" t="s">
        <v>245</v>
      </c>
      <c r="C306" s="26">
        <f>[1]!AeroConvLbmToOunce(A305)</f>
        <v>16</v>
      </c>
      <c r="D306" s="8">
        <v>16</v>
      </c>
      <c r="E306" s="10">
        <f t="shared" si="50"/>
        <v>0</v>
      </c>
    </row>
    <row r="307" spans="1:5" x14ac:dyDescent="0.25">
      <c r="B307" s="3" t="s">
        <v>246</v>
      </c>
      <c r="C307" s="26">
        <f>[1]!AeroConvLbmToUsTon(A305)</f>
        <v>5.0000000000000001E-4</v>
      </c>
      <c r="D307" s="8">
        <f>1/2000</f>
        <v>5.0000000000000001E-4</v>
      </c>
      <c r="E307" s="10">
        <f t="shared" si="50"/>
        <v>0</v>
      </c>
    </row>
    <row r="308" spans="1:5" x14ac:dyDescent="0.25">
      <c r="B308" s="3" t="s">
        <v>247</v>
      </c>
      <c r="C308" s="26">
        <f>[1]!AeroConvLbmToGram(A305)</f>
        <v>453.59237000000002</v>
      </c>
      <c r="D308" s="8">
        <v>453.59237000000002</v>
      </c>
      <c r="E308" s="10">
        <f t="shared" si="50"/>
        <v>0</v>
      </c>
    </row>
    <row r="309" spans="1:5" x14ac:dyDescent="0.25">
      <c r="B309" s="3" t="s">
        <v>248</v>
      </c>
      <c r="C309" s="26">
        <f>[1]!AeroConvLbmToKg(A305)</f>
        <v>0.45359237000000002</v>
      </c>
      <c r="D309" s="8">
        <v>0.45359237000000002</v>
      </c>
      <c r="E309" s="10">
        <f t="shared" si="50"/>
        <v>0</v>
      </c>
    </row>
    <row r="310" spans="1:5" x14ac:dyDescent="0.25">
      <c r="B310" s="3" t="s">
        <v>249</v>
      </c>
      <c r="C310" s="26">
        <f>[1]!AeroConvLbmToMetricTon(A305)</f>
        <v>4.5359237000000004E-4</v>
      </c>
      <c r="D310" s="8">
        <v>4.5359236999999999E-4</v>
      </c>
      <c r="E310" s="10">
        <f t="shared" si="50"/>
        <v>1.1951283180595658E-14</v>
      </c>
    </row>
    <row r="311" spans="1:5" x14ac:dyDescent="0.25">
      <c r="C311" s="23"/>
    </row>
    <row r="312" spans="1:5" x14ac:dyDescent="0.25">
      <c r="B312" s="3" t="s">
        <v>250</v>
      </c>
      <c r="C312" s="26">
        <f>[1]!AeroConvSlugToLbm(D305)</f>
        <v>1</v>
      </c>
      <c r="D312" s="8">
        <v>1</v>
      </c>
      <c r="E312" s="10">
        <f t="shared" si="50"/>
        <v>0</v>
      </c>
    </row>
    <row r="313" spans="1:5" x14ac:dyDescent="0.25">
      <c r="B313" s="3" t="s">
        <v>251</v>
      </c>
      <c r="C313" s="26">
        <f>[1]!AeroConvSlugToOunce(D305)</f>
        <v>16</v>
      </c>
      <c r="D313" s="8">
        <v>16</v>
      </c>
      <c r="E313" s="10">
        <f t="shared" si="50"/>
        <v>0</v>
      </c>
    </row>
    <row r="314" spans="1:5" x14ac:dyDescent="0.25">
      <c r="B314" s="3" t="s">
        <v>252</v>
      </c>
      <c r="C314" s="26">
        <f>[1]!AeroConvSlugToUsTon(D305)</f>
        <v>5.0000000000000001E-4</v>
      </c>
      <c r="D314" s="8">
        <f>1/2000</f>
        <v>5.0000000000000001E-4</v>
      </c>
      <c r="E314" s="10">
        <f t="shared" si="50"/>
        <v>0</v>
      </c>
    </row>
    <row r="315" spans="1:5" x14ac:dyDescent="0.25">
      <c r="B315" s="3" t="s">
        <v>253</v>
      </c>
      <c r="C315" s="26">
        <f>[1]!AeroConvSlugToGram(D305)</f>
        <v>453.59237000000002</v>
      </c>
      <c r="D315" s="8">
        <v>453.59237000000002</v>
      </c>
      <c r="E315" s="10">
        <f t="shared" si="50"/>
        <v>0</v>
      </c>
    </row>
    <row r="316" spans="1:5" x14ac:dyDescent="0.25">
      <c r="B316" s="3" t="s">
        <v>254</v>
      </c>
      <c r="C316" s="26">
        <f>[1]!AeroConvSlugToKg(D305)</f>
        <v>0.45359237000000002</v>
      </c>
      <c r="D316" s="8">
        <v>0.45359237000000002</v>
      </c>
      <c r="E316" s="10">
        <f t="shared" si="50"/>
        <v>0</v>
      </c>
    </row>
    <row r="317" spans="1:5" x14ac:dyDescent="0.25">
      <c r="B317" s="3" t="s">
        <v>255</v>
      </c>
      <c r="C317" s="26">
        <f>[1]!AeroConvSlugToMetricTon(D305)</f>
        <v>4.5359237000000004E-4</v>
      </c>
      <c r="D317" s="8">
        <v>4.5359236999999999E-4</v>
      </c>
      <c r="E317" s="10">
        <f t="shared" si="50"/>
        <v>1.1951283180595658E-14</v>
      </c>
    </row>
    <row r="318" spans="1:5" x14ac:dyDescent="0.25">
      <c r="C318" s="23"/>
    </row>
    <row r="319" spans="1:5" x14ac:dyDescent="0.25">
      <c r="B319" s="3" t="s">
        <v>256</v>
      </c>
      <c r="C319" s="26">
        <f>[1]!AeroConvOunceToLbm(D306)</f>
        <v>1</v>
      </c>
      <c r="D319" s="8">
        <v>1</v>
      </c>
      <c r="E319" s="10">
        <f t="shared" si="50"/>
        <v>0</v>
      </c>
    </row>
    <row r="320" spans="1:5" x14ac:dyDescent="0.25">
      <c r="B320" s="3" t="s">
        <v>257</v>
      </c>
      <c r="C320" s="26">
        <f>[1]!AeroConvOunceToSlug(D306)</f>
        <v>3.1080950171567298E-2</v>
      </c>
      <c r="D320" s="8">
        <v>3.1080950171567298E-2</v>
      </c>
      <c r="E320" s="10">
        <f t="shared" si="50"/>
        <v>0</v>
      </c>
    </row>
    <row r="321" spans="2:5" x14ac:dyDescent="0.25">
      <c r="B321" s="3" t="s">
        <v>258</v>
      </c>
      <c r="C321" s="26">
        <f>[1]!AeroConvOunceToUsTon(D306)</f>
        <v>5.0000000000000001E-4</v>
      </c>
      <c r="D321" s="8">
        <f>1/2000</f>
        <v>5.0000000000000001E-4</v>
      </c>
      <c r="E321" s="10">
        <f t="shared" si="50"/>
        <v>0</v>
      </c>
    </row>
    <row r="322" spans="2:5" x14ac:dyDescent="0.25">
      <c r="B322" s="3" t="s">
        <v>259</v>
      </c>
      <c r="C322" s="26">
        <f>[1]!AeroConvOunceToGram(D306)</f>
        <v>453.59237000000002</v>
      </c>
      <c r="D322" s="8">
        <v>453.59237000000002</v>
      </c>
      <c r="E322" s="10">
        <f t="shared" si="50"/>
        <v>0</v>
      </c>
    </row>
    <row r="323" spans="2:5" x14ac:dyDescent="0.25">
      <c r="B323" s="3" t="s">
        <v>260</v>
      </c>
      <c r="C323" s="26">
        <f>[1]!AeroConvOunceToKg(D306)</f>
        <v>0.45359237000000002</v>
      </c>
      <c r="D323" s="8">
        <v>0.45359237000000002</v>
      </c>
      <c r="E323" s="10">
        <f t="shared" si="50"/>
        <v>0</v>
      </c>
    </row>
    <row r="324" spans="2:5" x14ac:dyDescent="0.25">
      <c r="B324" s="3" t="s">
        <v>261</v>
      </c>
      <c r="C324" s="26">
        <f>[1]!AeroConvOunceToMetricTon(D306)</f>
        <v>4.5359237000000004E-4</v>
      </c>
      <c r="D324" s="8">
        <v>4.5359236999999999E-4</v>
      </c>
      <c r="E324" s="10">
        <f t="shared" si="50"/>
        <v>1.1951283180595658E-14</v>
      </c>
    </row>
    <row r="325" spans="2:5" x14ac:dyDescent="0.25">
      <c r="C325" s="23"/>
    </row>
    <row r="326" spans="2:5" x14ac:dyDescent="0.25">
      <c r="B326" s="3" t="s">
        <v>262</v>
      </c>
      <c r="C326" s="26">
        <f>[1]!AeroConvUsTonToLbm(D307)</f>
        <v>1</v>
      </c>
      <c r="D326" s="8">
        <v>1</v>
      </c>
      <c r="E326" s="10">
        <f t="shared" si="50"/>
        <v>0</v>
      </c>
    </row>
    <row r="327" spans="2:5" x14ac:dyDescent="0.25">
      <c r="B327" s="3" t="s">
        <v>263</v>
      </c>
      <c r="C327" s="26">
        <f>[1]!AeroConvUsTonToSlug(D307)</f>
        <v>3.1080950171567298E-2</v>
      </c>
      <c r="D327" s="8">
        <v>3.1080950171567298E-2</v>
      </c>
      <c r="E327" s="10">
        <f t="shared" si="50"/>
        <v>0</v>
      </c>
    </row>
    <row r="328" spans="2:5" x14ac:dyDescent="0.25">
      <c r="B328" s="3" t="s">
        <v>264</v>
      </c>
      <c r="C328" s="26">
        <f>[1]!AeroConvUsTonToOunce(D307)</f>
        <v>16</v>
      </c>
      <c r="D328" s="8">
        <v>16</v>
      </c>
      <c r="E328" s="10">
        <f t="shared" si="50"/>
        <v>0</v>
      </c>
    </row>
    <row r="329" spans="2:5" x14ac:dyDescent="0.25">
      <c r="B329" s="3" t="s">
        <v>265</v>
      </c>
      <c r="C329" s="26">
        <f>[1]!AeroConvUsTonToGram(D307)</f>
        <v>453.59237000000002</v>
      </c>
      <c r="D329" s="8">
        <v>453.59237000000002</v>
      </c>
      <c r="E329" s="10">
        <f t="shared" si="50"/>
        <v>0</v>
      </c>
    </row>
    <row r="330" spans="2:5" x14ac:dyDescent="0.25">
      <c r="B330" s="3" t="s">
        <v>266</v>
      </c>
      <c r="C330" s="26">
        <f>[1]!AeroConvUsTonToKg(D307)</f>
        <v>0.45359237000000002</v>
      </c>
      <c r="D330" s="8">
        <v>0.45359237000000002</v>
      </c>
      <c r="E330" s="10">
        <f t="shared" si="50"/>
        <v>0</v>
      </c>
    </row>
    <row r="331" spans="2:5" x14ac:dyDescent="0.25">
      <c r="B331" s="3" t="s">
        <v>267</v>
      </c>
      <c r="C331" s="26">
        <f>[1]!AeroConvUsTonToMetricTon(D307)</f>
        <v>4.5359237000000004E-4</v>
      </c>
      <c r="D331" s="8">
        <v>4.5359236999999999E-4</v>
      </c>
      <c r="E331" s="10">
        <f t="shared" si="50"/>
        <v>1.1951283180595658E-14</v>
      </c>
    </row>
    <row r="332" spans="2:5" x14ac:dyDescent="0.25">
      <c r="C332" s="23"/>
    </row>
    <row r="333" spans="2:5" x14ac:dyDescent="0.25">
      <c r="B333" s="3" t="s">
        <v>268</v>
      </c>
      <c r="C333" s="26">
        <f>[1]!AeroConvGramToLbm(D308)</f>
        <v>1</v>
      </c>
      <c r="D333" s="8">
        <v>1</v>
      </c>
      <c r="E333" s="10">
        <f t="shared" si="50"/>
        <v>0</v>
      </c>
    </row>
    <row r="334" spans="2:5" x14ac:dyDescent="0.25">
      <c r="B334" s="3" t="s">
        <v>269</v>
      </c>
      <c r="C334" s="26">
        <f>[1]!AeroConvGramToSlug(D308)</f>
        <v>3.1080950171567298E-2</v>
      </c>
      <c r="D334" s="8">
        <v>3.1080950171567298E-2</v>
      </c>
      <c r="E334" s="10">
        <f t="shared" si="50"/>
        <v>0</v>
      </c>
    </row>
    <row r="335" spans="2:5" x14ac:dyDescent="0.25">
      <c r="B335" s="3" t="s">
        <v>270</v>
      </c>
      <c r="C335" s="26">
        <f>[1]!AeroConvGramToOunce(D308)</f>
        <v>16</v>
      </c>
      <c r="D335" s="8">
        <v>16</v>
      </c>
      <c r="E335" s="10">
        <f t="shared" si="50"/>
        <v>0</v>
      </c>
    </row>
    <row r="336" spans="2:5" x14ac:dyDescent="0.25">
      <c r="B336" s="3" t="s">
        <v>271</v>
      </c>
      <c r="C336" s="26">
        <f>[1]!AeroConvGramToUsTon(D308)</f>
        <v>5.0000000000000001E-4</v>
      </c>
      <c r="D336" s="8">
        <f>1/2000</f>
        <v>5.0000000000000001E-4</v>
      </c>
      <c r="E336" s="10">
        <f t="shared" si="50"/>
        <v>0</v>
      </c>
    </row>
    <row r="337" spans="2:5" x14ac:dyDescent="0.25">
      <c r="B337" s="3" t="s">
        <v>272</v>
      </c>
      <c r="C337" s="26">
        <f>[1]!AeroConvGramToKg(D308)</f>
        <v>0.45359237000000002</v>
      </c>
      <c r="D337" s="8">
        <v>0.45359237000000002</v>
      </c>
      <c r="E337" s="10">
        <f t="shared" si="50"/>
        <v>0</v>
      </c>
    </row>
    <row r="338" spans="2:5" x14ac:dyDescent="0.25">
      <c r="B338" s="3" t="s">
        <v>273</v>
      </c>
      <c r="C338" s="26">
        <f>[1]!AeroConvGramToMetricTon(D308)</f>
        <v>4.5359237000000004E-4</v>
      </c>
      <c r="D338" s="8">
        <v>4.5359236999999999E-4</v>
      </c>
      <c r="E338" s="10">
        <f t="shared" si="50"/>
        <v>1.1951283180595658E-14</v>
      </c>
    </row>
    <row r="339" spans="2:5" x14ac:dyDescent="0.25">
      <c r="C339" s="23"/>
    </row>
    <row r="340" spans="2:5" x14ac:dyDescent="0.25">
      <c r="B340" s="3" t="s">
        <v>274</v>
      </c>
      <c r="C340" s="26">
        <f>[1]!AeroConvKgToLbm(D309)</f>
        <v>1</v>
      </c>
      <c r="D340" s="8">
        <v>1</v>
      </c>
      <c r="E340" s="10">
        <f t="shared" si="50"/>
        <v>0</v>
      </c>
    </row>
    <row r="341" spans="2:5" x14ac:dyDescent="0.25">
      <c r="B341" s="3" t="s">
        <v>275</v>
      </c>
      <c r="C341" s="26">
        <f>[1]!AeroConvKgToSlug(D309)</f>
        <v>3.1080950171567298E-2</v>
      </c>
      <c r="D341" s="8">
        <v>3.1080950171567298E-2</v>
      </c>
      <c r="E341" s="10">
        <f t="shared" si="50"/>
        <v>0</v>
      </c>
    </row>
    <row r="342" spans="2:5" x14ac:dyDescent="0.25">
      <c r="B342" s="3" t="s">
        <v>276</v>
      </c>
      <c r="C342" s="26">
        <f>[1]!AeroConvKgToOunce(D309)</f>
        <v>16</v>
      </c>
      <c r="D342" s="8">
        <v>16</v>
      </c>
      <c r="E342" s="10">
        <f t="shared" ref="E342:E345" si="51">(C342-D342)/D342*100</f>
        <v>0</v>
      </c>
    </row>
    <row r="343" spans="2:5" x14ac:dyDescent="0.25">
      <c r="B343" s="3" t="s">
        <v>277</v>
      </c>
      <c r="C343" s="26">
        <f>[1]!AeroConvKgToUsTon(D309)</f>
        <v>5.0000000000000001E-4</v>
      </c>
      <c r="D343" s="8">
        <f>1/2000</f>
        <v>5.0000000000000001E-4</v>
      </c>
      <c r="E343" s="10">
        <f t="shared" si="51"/>
        <v>0</v>
      </c>
    </row>
    <row r="344" spans="2:5" x14ac:dyDescent="0.25">
      <c r="B344" s="3" t="s">
        <v>278</v>
      </c>
      <c r="C344" s="26">
        <f>[1]!AeroConvKgToGram(D309)</f>
        <v>453.59237000000002</v>
      </c>
      <c r="D344" s="8">
        <v>453.59237000000002</v>
      </c>
      <c r="E344" s="10">
        <f t="shared" si="51"/>
        <v>0</v>
      </c>
    </row>
    <row r="345" spans="2:5" x14ac:dyDescent="0.25">
      <c r="B345" s="3" t="s">
        <v>279</v>
      </c>
      <c r="C345" s="26">
        <f>[1]!AeroConvKgToMetricTon(D309)</f>
        <v>4.5359237000000004E-4</v>
      </c>
      <c r="D345" s="8">
        <v>4.5359236999999999E-4</v>
      </c>
      <c r="E345" s="10">
        <f t="shared" si="51"/>
        <v>1.1951283180595658E-14</v>
      </c>
    </row>
    <row r="346" spans="2:5" x14ac:dyDescent="0.25">
      <c r="C346" s="23"/>
    </row>
    <row r="347" spans="2:5" x14ac:dyDescent="0.25">
      <c r="B347" s="3" t="s">
        <v>280</v>
      </c>
      <c r="C347" s="26">
        <f>[1]!AeroConvMetricTonToLbm(D310)</f>
        <v>0.99999999999999989</v>
      </c>
      <c r="D347" s="8">
        <v>1</v>
      </c>
      <c r="E347" s="10">
        <f t="shared" ref="E347:E352" si="52">(C347-D347)/D347*100</f>
        <v>-1.1102230246251565E-14</v>
      </c>
    </row>
    <row r="348" spans="2:5" x14ac:dyDescent="0.25">
      <c r="B348" s="3" t="s">
        <v>281</v>
      </c>
      <c r="C348" s="26">
        <f>[1]!AeroConvMetricTonToSlug(D310)</f>
        <v>3.1080950171567295E-2</v>
      </c>
      <c r="D348" s="8">
        <v>3.1080950171567298E-2</v>
      </c>
      <c r="E348" s="10">
        <f t="shared" si="52"/>
        <v>-1.1162615469611503E-14</v>
      </c>
    </row>
    <row r="349" spans="2:5" x14ac:dyDescent="0.25">
      <c r="B349" s="3" t="s">
        <v>282</v>
      </c>
      <c r="C349" s="26">
        <f>[1]!AeroConvMetricTonToOunce(D310)</f>
        <v>15.999999999999998</v>
      </c>
      <c r="D349" s="8">
        <v>16</v>
      </c>
      <c r="E349" s="10">
        <f t="shared" si="52"/>
        <v>-1.1102230246251565E-14</v>
      </c>
    </row>
    <row r="350" spans="2:5" x14ac:dyDescent="0.25">
      <c r="B350" s="3" t="s">
        <v>283</v>
      </c>
      <c r="C350" s="26">
        <f>[1]!AeroConvMetricTonToUsTon(D310)</f>
        <v>4.999999999999999E-4</v>
      </c>
      <c r="D350" s="8">
        <f>1/2000</f>
        <v>5.0000000000000001E-4</v>
      </c>
      <c r="E350" s="10">
        <f t="shared" si="52"/>
        <v>-2.1684043449710089E-14</v>
      </c>
    </row>
    <row r="351" spans="2:5" x14ac:dyDescent="0.25">
      <c r="B351" s="3" t="s">
        <v>284</v>
      </c>
      <c r="C351" s="26">
        <f>[1]!AeroConvMetricTonToGram(D310)</f>
        <v>453.59236999999996</v>
      </c>
      <c r="D351" s="8">
        <v>453.59237000000002</v>
      </c>
      <c r="E351" s="10">
        <f t="shared" si="52"/>
        <v>-1.2531828712376272E-14</v>
      </c>
    </row>
    <row r="352" spans="2:5" x14ac:dyDescent="0.25">
      <c r="B352" s="3" t="s">
        <v>285</v>
      </c>
      <c r="C352" s="26">
        <f>[1]!AeroConvMetricTonToKg(D310)</f>
        <v>0.45359236999999997</v>
      </c>
      <c r="D352" s="8">
        <v>0.45359237000000002</v>
      </c>
      <c r="E352" s="10">
        <f t="shared" si="52"/>
        <v>-1.2238113976929953E-14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2019-04-26T08:33:45Z</dcterms:modified>
</cp:coreProperties>
</file>