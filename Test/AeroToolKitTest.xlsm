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fs272\AeroProgs\StdAtmoAddIn\AeroToolKitAddIn\Test\"/>
    </mc:Choice>
  </mc:AlternateContent>
  <xr:revisionPtr revIDLastSave="0" documentId="13_ncr:1_{2E4C532C-2800-4D19-9480-000FF46C3DD9}" xr6:coauthVersionLast="43" xr6:coauthVersionMax="43" xr10:uidLastSave="{00000000-0000-0000-0000-000000000000}"/>
  <bookViews>
    <workbookView xWindow="28680" yWindow="-120" windowWidth="29040" windowHeight="15525" xr2:uid="{00000000-000D-0000-FFFF-FFFF00000000}"/>
  </bookViews>
  <sheets>
    <sheet name="SampleTest" sheetId="1" r:id="rId1"/>
  </sheets>
  <functionGroups builtInGroupCount="19"/>
  <externalReferences>
    <externalReference r:id="rId2"/>
  </externalReferences>
  <definedNames>
    <definedName name="hp">SampleTest!$A$7</definedName>
    <definedName name="isaDevC">SampleTest!$AE$7</definedName>
    <definedName name="isaDevF">SampleTest!$AK$7</definedName>
    <definedName name="KCAS">SampleTest!$A$47</definedName>
    <definedName name="KEAS">SampleTest!$A$55</definedName>
    <definedName name="KTAS">SampleTest!$A$63</definedName>
    <definedName name="lengthFeet">SampleTest!$A$178</definedName>
    <definedName name="Mach">SampleTest!$A$70</definedName>
    <definedName name="oat">SampleTest!#REF!</definedName>
    <definedName name="oatC">SampleTest!$G$7</definedName>
    <definedName name="oatF">SampleTest!$S$7</definedName>
    <definedName name="oatK">SampleTest!$M$7</definedName>
    <definedName name="oatR">SampleTest!$Y$7</definedName>
    <definedName name="QcPSF">SampleTest!$A$86</definedName>
    <definedName name="QPSF">SampleTest!$A$78</definedName>
  </definedNames>
  <calcPr calcId="191029"/>
</workbook>
</file>

<file path=xl/calcChain.xml><?xml version="1.0" encoding="utf-8"?>
<calcChain xmlns="http://schemas.openxmlformats.org/spreadsheetml/2006/main">
  <c r="D235" i="1" l="1"/>
  <c r="D232" i="1"/>
  <c r="D229" i="1"/>
  <c r="D253" i="1"/>
  <c r="D249" i="1"/>
  <c r="C257" i="1"/>
  <c r="C256" i="1"/>
  <c r="C253" i="1"/>
  <c r="C252" i="1"/>
  <c r="C251" i="1"/>
  <c r="C250" i="1"/>
  <c r="C249" i="1"/>
  <c r="C248" i="1"/>
  <c r="C246" i="1"/>
  <c r="C245" i="1"/>
  <c r="C244" i="1"/>
  <c r="C243" i="1"/>
  <c r="C242" i="1"/>
  <c r="C241" i="1"/>
  <c r="C240" i="1"/>
  <c r="C239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3" i="1"/>
  <c r="C222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AG174" i="1"/>
  <c r="AG173" i="1"/>
  <c r="AA174" i="1"/>
  <c r="AA173" i="1"/>
  <c r="U174" i="1"/>
  <c r="U173" i="1"/>
  <c r="O174" i="1"/>
  <c r="O173" i="1"/>
  <c r="I174" i="1"/>
  <c r="I173" i="1"/>
  <c r="C174" i="1"/>
  <c r="C173" i="1"/>
  <c r="C164" i="1"/>
  <c r="C163" i="1"/>
  <c r="C162" i="1"/>
  <c r="C161" i="1"/>
  <c r="C159" i="1"/>
  <c r="C158" i="1"/>
  <c r="C157" i="1"/>
  <c r="C156" i="1"/>
  <c r="C155" i="1"/>
  <c r="C154" i="1"/>
  <c r="C153" i="1"/>
  <c r="C144" i="1"/>
  <c r="C134" i="1"/>
  <c r="C133" i="1"/>
  <c r="C132" i="1"/>
  <c r="C121" i="1"/>
  <c r="C120" i="1"/>
  <c r="C119" i="1"/>
  <c r="C118" i="1"/>
  <c r="C117" i="1"/>
  <c r="C116" i="1"/>
  <c r="C115" i="1"/>
  <c r="C114" i="1"/>
  <c r="C113" i="1"/>
  <c r="C112" i="1"/>
  <c r="C107" i="1"/>
  <c r="C106" i="1"/>
  <c r="AG101" i="1"/>
  <c r="AM101" i="1"/>
  <c r="AA101" i="1"/>
  <c r="U101" i="1"/>
  <c r="O101" i="1"/>
  <c r="I101" i="1"/>
  <c r="C101" i="1"/>
  <c r="C97" i="1"/>
  <c r="C96" i="1"/>
  <c r="C95" i="1"/>
  <c r="C94" i="1"/>
  <c r="I83" i="1"/>
  <c r="I82" i="1"/>
  <c r="I81" i="1"/>
  <c r="I80" i="1"/>
  <c r="I79" i="1"/>
  <c r="I78" i="1"/>
  <c r="I75" i="1"/>
  <c r="I74" i="1"/>
  <c r="I73" i="1"/>
  <c r="I72" i="1"/>
  <c r="I71" i="1"/>
  <c r="I70" i="1"/>
  <c r="I91" i="1"/>
  <c r="I90" i="1"/>
  <c r="I89" i="1"/>
  <c r="I88" i="1"/>
  <c r="I87" i="1"/>
  <c r="I86" i="1"/>
  <c r="C90" i="1"/>
  <c r="C89" i="1"/>
  <c r="C88" i="1"/>
  <c r="C87" i="1"/>
  <c r="C86" i="1"/>
  <c r="C82" i="1"/>
  <c r="C81" i="1"/>
  <c r="C80" i="1"/>
  <c r="C79" i="1"/>
  <c r="C78" i="1"/>
  <c r="C74" i="1"/>
  <c r="C73" i="1"/>
  <c r="C72" i="1"/>
  <c r="C71" i="1"/>
  <c r="C70" i="1"/>
  <c r="AM67" i="1"/>
  <c r="AM66" i="1"/>
  <c r="AM65" i="1"/>
  <c r="AM64" i="1"/>
  <c r="AM63" i="1"/>
  <c r="AG67" i="1"/>
  <c r="AG66" i="1"/>
  <c r="AG65" i="1"/>
  <c r="AG64" i="1"/>
  <c r="AG63" i="1"/>
  <c r="AA67" i="1"/>
  <c r="AA66" i="1"/>
  <c r="AA65" i="1"/>
  <c r="AA64" i="1"/>
  <c r="AA63" i="1"/>
  <c r="U67" i="1"/>
  <c r="U66" i="1"/>
  <c r="U65" i="1"/>
  <c r="U64" i="1"/>
  <c r="U63" i="1"/>
  <c r="O67" i="1"/>
  <c r="O66" i="1"/>
  <c r="O65" i="1"/>
  <c r="O64" i="1"/>
  <c r="O63" i="1"/>
  <c r="I60" i="1"/>
  <c r="I59" i="1"/>
  <c r="I58" i="1"/>
  <c r="I57" i="1"/>
  <c r="I56" i="1"/>
  <c r="I55" i="1"/>
  <c r="I67" i="1"/>
  <c r="I66" i="1"/>
  <c r="I65" i="1"/>
  <c r="I64" i="1"/>
  <c r="I63" i="1"/>
  <c r="C67" i="1"/>
  <c r="C66" i="1"/>
  <c r="C65" i="1"/>
  <c r="C64" i="1"/>
  <c r="C63" i="1"/>
  <c r="C60" i="1"/>
  <c r="C59" i="1"/>
  <c r="C58" i="1"/>
  <c r="C57" i="1"/>
  <c r="C56" i="1"/>
  <c r="C55" i="1"/>
  <c r="I52" i="1"/>
  <c r="I51" i="1"/>
  <c r="I50" i="1"/>
  <c r="I49" i="1"/>
  <c r="I48" i="1"/>
  <c r="I47" i="1"/>
  <c r="C52" i="1"/>
  <c r="C51" i="1"/>
  <c r="C50" i="1"/>
  <c r="C49" i="1"/>
  <c r="C48" i="1"/>
  <c r="C47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G19" i="1"/>
  <c r="AG18" i="1"/>
  <c r="AG17" i="1"/>
  <c r="AG16" i="1"/>
  <c r="AG15" i="1"/>
  <c r="AG14" i="1"/>
  <c r="AG13" i="1"/>
  <c r="AG12" i="1"/>
  <c r="AG11" i="1"/>
  <c r="AG10" i="1"/>
  <c r="AG9" i="1"/>
  <c r="AG8" i="1"/>
  <c r="AG7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O19" i="1"/>
  <c r="O18" i="1"/>
  <c r="O17" i="1"/>
  <c r="O16" i="1"/>
  <c r="O15" i="1"/>
  <c r="O14" i="1"/>
  <c r="O13" i="1"/>
  <c r="O12" i="1"/>
  <c r="O11" i="1"/>
  <c r="O10" i="1"/>
  <c r="O9" i="1"/>
  <c r="O8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C43" i="1"/>
  <c r="C42" i="1"/>
  <c r="C40" i="1"/>
  <c r="C39" i="1"/>
  <c r="C37" i="1"/>
  <c r="C36" i="1"/>
  <c r="C34" i="1"/>
  <c r="C33" i="1"/>
  <c r="C31" i="1"/>
  <c r="C30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A255" i="1"/>
  <c r="M7" i="1"/>
  <c r="Y7" i="1"/>
  <c r="A150" i="1"/>
  <c r="C143" i="1"/>
  <c r="S7" i="1"/>
  <c r="E194" i="1" l="1"/>
  <c r="E195" i="1"/>
  <c r="E196" i="1"/>
  <c r="E197" i="1"/>
  <c r="E193" i="1"/>
  <c r="E192" i="1"/>
  <c r="E190" i="1"/>
  <c r="E191" i="1"/>
  <c r="W101" i="1"/>
  <c r="K101" i="1"/>
  <c r="E173" i="1"/>
  <c r="AC173" i="1"/>
  <c r="AI173" i="1"/>
  <c r="AI174" i="1"/>
  <c r="AC174" i="1"/>
  <c r="E174" i="1"/>
  <c r="Q14" i="1"/>
  <c r="Q174" i="1"/>
  <c r="K173" i="1"/>
  <c r="W173" i="1"/>
  <c r="Q173" i="1"/>
  <c r="W174" i="1"/>
  <c r="K174" i="1"/>
  <c r="E187" i="1"/>
  <c r="E186" i="1"/>
  <c r="E183" i="1"/>
  <c r="E182" i="1"/>
  <c r="E219" i="1"/>
  <c r="E218" i="1"/>
  <c r="E217" i="1"/>
  <c r="E216" i="1"/>
  <c r="E211" i="1"/>
  <c r="E184" i="1"/>
  <c r="E179" i="1"/>
  <c r="E213" i="1"/>
  <c r="E180" i="1"/>
  <c r="E206" i="1"/>
  <c r="E214" i="1"/>
  <c r="E210" i="1"/>
  <c r="E207" i="1"/>
  <c r="E215" i="1"/>
  <c r="E202" i="1"/>
  <c r="E201" i="1"/>
  <c r="E203" i="1"/>
  <c r="E188" i="1"/>
  <c r="E205" i="1"/>
  <c r="E204" i="1"/>
  <c r="E209" i="1"/>
  <c r="E228" i="1"/>
  <c r="D257" i="1"/>
  <c r="E42" i="1"/>
  <c r="E43" i="1"/>
  <c r="E251" i="1"/>
  <c r="E236" i="1"/>
  <c r="E237" i="1"/>
  <c r="E235" i="1"/>
  <c r="E119" i="1"/>
  <c r="E232" i="1"/>
  <c r="E250" i="1"/>
  <c r="E244" i="1"/>
  <c r="AO66" i="1"/>
  <c r="AI65" i="1"/>
  <c r="AC64" i="1"/>
  <c r="W63" i="1"/>
  <c r="AC67" i="1"/>
  <c r="Q65" i="1"/>
  <c r="K65" i="1"/>
  <c r="Q67" i="1"/>
  <c r="K67" i="1"/>
  <c r="AI63" i="1"/>
  <c r="AC63" i="1"/>
  <c r="AO67" i="1"/>
  <c r="AI66" i="1"/>
  <c r="AC65" i="1"/>
  <c r="W64" i="1"/>
  <c r="Q63" i="1"/>
  <c r="W66" i="1"/>
  <c r="W67" i="1"/>
  <c r="AO63" i="1"/>
  <c r="AO64" i="1"/>
  <c r="K8" i="1"/>
  <c r="W10" i="1"/>
  <c r="AO13" i="1"/>
  <c r="K16" i="1"/>
  <c r="AC19" i="1"/>
  <c r="AI64" i="1"/>
  <c r="K70" i="1"/>
  <c r="AC101" i="1"/>
  <c r="E234" i="1"/>
  <c r="K7" i="1"/>
  <c r="AC10" i="1"/>
  <c r="AO12" i="1"/>
  <c r="Q16" i="1"/>
  <c r="AI19" i="1"/>
  <c r="K49" i="1"/>
  <c r="K59" i="1"/>
  <c r="K75" i="1"/>
  <c r="AI101" i="1"/>
  <c r="E117" i="1"/>
  <c r="K66" i="1"/>
  <c r="AI9" i="1"/>
  <c r="K13" i="1"/>
  <c r="W15" i="1"/>
  <c r="AO18" i="1"/>
  <c r="K50" i="1"/>
  <c r="Q66" i="1"/>
  <c r="K78" i="1"/>
  <c r="E153" i="1"/>
  <c r="AC15" i="1"/>
  <c r="K64" i="1"/>
  <c r="K72" i="1"/>
  <c r="K83" i="1"/>
  <c r="E230" i="1"/>
  <c r="E248" i="1"/>
  <c r="AI7" i="1"/>
  <c r="AO8" i="1"/>
  <c r="K11" i="1"/>
  <c r="Q12" i="1"/>
  <c r="W13" i="1"/>
  <c r="AC14" i="1"/>
  <c r="AI15" i="1"/>
  <c r="AO16" i="1"/>
  <c r="K19" i="1"/>
  <c r="K47" i="1"/>
  <c r="K51" i="1"/>
  <c r="K57" i="1"/>
  <c r="K63" i="1"/>
  <c r="Q64" i="1"/>
  <c r="W65" i="1"/>
  <c r="AC66" i="1"/>
  <c r="AI67" i="1"/>
  <c r="K79" i="1"/>
  <c r="E231" i="1"/>
  <c r="E240" i="1"/>
  <c r="E113" i="1"/>
  <c r="AI12" i="1"/>
  <c r="Q17" i="1"/>
  <c r="AO65" i="1"/>
  <c r="K74" i="1"/>
  <c r="E226" i="1"/>
  <c r="E252" i="1"/>
  <c r="E158" i="1"/>
  <c r="AC18" i="1"/>
  <c r="K55" i="1"/>
  <c r="E227" i="1"/>
  <c r="Q7" i="1"/>
  <c r="AO11" i="1"/>
  <c r="K14" i="1"/>
  <c r="W16" i="1"/>
  <c r="AI18" i="1"/>
  <c r="K71" i="1"/>
  <c r="K88" i="1"/>
  <c r="AI17" i="1"/>
  <c r="K60" i="1"/>
  <c r="AO9" i="1"/>
  <c r="Q13" i="1"/>
  <c r="AI16" i="1"/>
  <c r="K89" i="1"/>
  <c r="E239" i="1"/>
  <c r="AO7" i="1"/>
  <c r="W12" i="1"/>
  <c r="AO15" i="1"/>
  <c r="K18" i="1"/>
  <c r="Q19" i="1"/>
  <c r="K73" i="1"/>
  <c r="K86" i="1"/>
  <c r="K90" i="1"/>
  <c r="Q101" i="1"/>
  <c r="E222" i="1"/>
  <c r="E132" i="1"/>
  <c r="E156" i="1"/>
  <c r="Q9" i="1"/>
  <c r="AC11" i="1"/>
  <c r="W18" i="1"/>
  <c r="K87" i="1"/>
  <c r="E200" i="1"/>
  <c r="E243" i="1"/>
  <c r="Q8" i="1"/>
  <c r="AI11" i="1"/>
  <c r="K15" i="1"/>
  <c r="W17" i="1"/>
  <c r="K81" i="1"/>
  <c r="AI10" i="1"/>
  <c r="Q15" i="1"/>
  <c r="AC17" i="1"/>
  <c r="AO19" i="1"/>
  <c r="AO101" i="1"/>
  <c r="E106" i="1"/>
  <c r="W7" i="1"/>
  <c r="AO10" i="1"/>
  <c r="AC16" i="1"/>
  <c r="K56" i="1"/>
  <c r="K82" i="1"/>
  <c r="AI8" i="1"/>
  <c r="K12" i="1"/>
  <c r="W14" i="1"/>
  <c r="AO17" i="1"/>
  <c r="K10" i="1"/>
  <c r="Q11" i="1"/>
  <c r="AC13" i="1"/>
  <c r="AI14" i="1"/>
  <c r="K9" i="1"/>
  <c r="Q10" i="1"/>
  <c r="W11" i="1"/>
  <c r="AC12" i="1"/>
  <c r="AI13" i="1"/>
  <c r="AO14" i="1"/>
  <c r="K17" i="1"/>
  <c r="Q18" i="1"/>
  <c r="W19" i="1"/>
  <c r="K48" i="1"/>
  <c r="K52" i="1"/>
  <c r="K58" i="1"/>
  <c r="K80" i="1"/>
  <c r="K91" i="1"/>
  <c r="E133" i="1"/>
  <c r="E178" i="1"/>
  <c r="E143" i="1"/>
  <c r="E33" i="1"/>
  <c r="E34" i="1"/>
  <c r="E37" i="1"/>
  <c r="E31" i="1"/>
  <c r="E39" i="1"/>
  <c r="E30" i="1"/>
  <c r="E36" i="1"/>
  <c r="E40" i="1"/>
  <c r="AC7" i="1"/>
  <c r="AC9" i="1"/>
  <c r="AC8" i="1"/>
  <c r="W9" i="1"/>
  <c r="W8" i="1"/>
  <c r="E12" i="1"/>
  <c r="E242" i="1" l="1"/>
  <c r="E233" i="1"/>
  <c r="E185" i="1"/>
  <c r="E246" i="1"/>
  <c r="E189" i="1"/>
  <c r="E212" i="1"/>
  <c r="E114" i="1"/>
  <c r="E22" i="1"/>
  <c r="E181" i="1"/>
  <c r="E208" i="1"/>
  <c r="E245" i="1"/>
  <c r="E253" i="1"/>
  <c r="E107" i="1"/>
  <c r="E229" i="1"/>
  <c r="E120" i="1"/>
  <c r="E249" i="1"/>
  <c r="E118" i="1"/>
  <c r="E154" i="1"/>
  <c r="E162" i="1"/>
  <c r="E161" i="1"/>
  <c r="E164" i="1"/>
  <c r="E163" i="1"/>
  <c r="E155" i="1"/>
  <c r="E159" i="1"/>
  <c r="E134" i="1"/>
  <c r="E223" i="1"/>
  <c r="E256" i="1"/>
  <c r="E144" i="1"/>
  <c r="E157" i="1"/>
  <c r="E241" i="1"/>
  <c r="E121" i="1"/>
  <c r="A109" i="1"/>
  <c r="E257" i="1" l="1"/>
  <c r="E116" i="1"/>
  <c r="E112" i="1"/>
  <c r="E26" i="1"/>
  <c r="E94" i="1"/>
  <c r="E95" i="1"/>
  <c r="E28" i="1"/>
  <c r="E96" i="1"/>
  <c r="E97" i="1"/>
  <c r="E10" i="1"/>
  <c r="E65" i="1"/>
  <c r="E21" i="1"/>
  <c r="E17" i="1"/>
  <c r="E55" i="1"/>
  <c r="E25" i="1"/>
  <c r="E89" i="1"/>
  <c r="E14" i="1"/>
  <c r="E23" i="1"/>
  <c r="E50" i="1"/>
  <c r="E56" i="1"/>
  <c r="E27" i="1"/>
  <c r="E101" i="1"/>
  <c r="E74" i="1"/>
  <c r="E82" i="1"/>
  <c r="E70" i="1"/>
  <c r="E52" i="1"/>
  <c r="E15" i="1"/>
  <c r="E16" i="1"/>
  <c r="E57" i="1"/>
  <c r="E73" i="1"/>
  <c r="E72" i="1"/>
  <c r="E79" i="1"/>
  <c r="E60" i="1"/>
  <c r="E90" i="1"/>
  <c r="E8" i="1"/>
  <c r="E71" i="1"/>
  <c r="E24" i="1"/>
  <c r="E47" i="1"/>
  <c r="E67" i="1"/>
  <c r="E78" i="1"/>
  <c r="E86" i="1"/>
  <c r="E20" i="1"/>
  <c r="E58" i="1"/>
  <c r="E11" i="1"/>
  <c r="E13" i="1"/>
  <c r="E63" i="1"/>
  <c r="E48" i="1"/>
  <c r="E66" i="1"/>
  <c r="E18" i="1"/>
  <c r="E80" i="1"/>
  <c r="E87" i="1"/>
  <c r="E59" i="1"/>
  <c r="E9" i="1"/>
  <c r="E64" i="1"/>
  <c r="E49" i="1"/>
  <c r="E51" i="1"/>
  <c r="E19" i="1"/>
  <c r="E81" i="1"/>
  <c r="E88" i="1"/>
  <c r="E7" i="1"/>
  <c r="E115" i="1" l="1"/>
</calcChain>
</file>

<file path=xl/sharedStrings.xml><?xml version="1.0" encoding="utf-8"?>
<sst xmlns="http://schemas.openxmlformats.org/spreadsheetml/2006/main" count="428" uniqueCount="212">
  <si>
    <t>delta</t>
  </si>
  <si>
    <t>Pstatic-inHg</t>
  </si>
  <si>
    <t>Pstatic-psf</t>
  </si>
  <si>
    <t>Pstatic-mb</t>
  </si>
  <si>
    <t>Pstatic-psi</t>
  </si>
  <si>
    <t>Kelvin</t>
  </si>
  <si>
    <t>Fahrenheit</t>
  </si>
  <si>
    <t>Rankine</t>
  </si>
  <si>
    <t>theta</t>
  </si>
  <si>
    <t>theta std</t>
  </si>
  <si>
    <t>sigma std</t>
  </si>
  <si>
    <t>sigma</t>
  </si>
  <si>
    <t>Tstd-°C</t>
  </si>
  <si>
    <t>Tstd-°K</t>
  </si>
  <si>
    <t>Tstd-°F</t>
  </si>
  <si>
    <t>Tstd-°R</t>
  </si>
  <si>
    <t>OAT-°C</t>
  </si>
  <si>
    <t>Functions of OAT °C</t>
  </si>
  <si>
    <t>OAT-°F</t>
  </si>
  <si>
    <t>Functions of OAT °F</t>
  </si>
  <si>
    <t>a-knots</t>
  </si>
  <si>
    <t>a-ft/sec</t>
  </si>
  <si>
    <t>aStd-knots</t>
  </si>
  <si>
    <t>aStd-ft/sec</t>
  </si>
  <si>
    <t>Hp-feet</t>
  </si>
  <si>
    <t xml:space="preserve"> </t>
  </si>
  <si>
    <t>aStd-MPH</t>
  </si>
  <si>
    <t>aStd-km/hr</t>
  </si>
  <si>
    <t>aStd-m/sec</t>
  </si>
  <si>
    <t>a-m/sec</t>
  </si>
  <si>
    <t>a-MPH</t>
  </si>
  <si>
    <t>a-km/hr</t>
  </si>
  <si>
    <t>KCAS</t>
  </si>
  <si>
    <t>Mach</t>
  </si>
  <si>
    <t>KEAS</t>
  </si>
  <si>
    <t>KTAS std</t>
  </si>
  <si>
    <t>KTAS</t>
  </si>
  <si>
    <t>Re/ft</t>
  </si>
  <si>
    <t>q-PSF</t>
  </si>
  <si>
    <t>qc-PSF</t>
  </si>
  <si>
    <t>tapeline-ft</t>
  </si>
  <si>
    <t>geoptl-ft</t>
  </si>
  <si>
    <t>tapeline-m</t>
  </si>
  <si>
    <t>geoptl-m</t>
  </si>
  <si>
    <t>Comp Corn KCAS-KEAS</t>
  </si>
  <si>
    <t>OAT-K</t>
  </si>
  <si>
    <t>Functions of OAT K</t>
  </si>
  <si>
    <t>Functions of R</t>
  </si>
  <si>
    <t>OAT-R</t>
  </si>
  <si>
    <t>ISA dev-°C</t>
  </si>
  <si>
    <t>Functions of ISA dev-°C</t>
  </si>
  <si>
    <t>Celsius</t>
  </si>
  <si>
    <t>ISA dev-°F</t>
  </si>
  <si>
    <t>Functions of ISA dev-°F</t>
  </si>
  <si>
    <t>KEAS=fKTAS</t>
  </si>
  <si>
    <t>Mach=fKTAS</t>
  </si>
  <si>
    <t>KCAS=fKTAS</t>
  </si>
  <si>
    <t>q-PSF=fKTAS</t>
  </si>
  <si>
    <t>qc-PSF=fKTAS</t>
  </si>
  <si>
    <t>and:</t>
  </si>
  <si>
    <t>KTAS=fKEAS</t>
  </si>
  <si>
    <t>KTAS=fKCAS</t>
  </si>
  <si>
    <t>KTAS=fMach</t>
  </si>
  <si>
    <t>STD</t>
  </si>
  <si>
    <t>rhoSTD-slug/ft^3</t>
  </si>
  <si>
    <t>rho-slug/ft^3</t>
  </si>
  <si>
    <t>Q</t>
  </si>
  <si>
    <t>KTAS=fQ</t>
  </si>
  <si>
    <t>KTAS=fQc</t>
  </si>
  <si>
    <t>Qc</t>
  </si>
  <si>
    <t>Dyn Viscosity - N-s/m2</t>
  </si>
  <si>
    <t>Dyn Viscosity - slug/(ft-s)</t>
  </si>
  <si>
    <t>Kin Visosity - m2/sec</t>
  </si>
  <si>
    <t>Kin Visosity - ft2/sec</t>
  </si>
  <si>
    <t>FtToNm(ft)</t>
  </si>
  <si>
    <t>NmToFt(nm)</t>
  </si>
  <si>
    <t>GradPctToFtPerNm(pct)</t>
  </si>
  <si>
    <t>GradPctToDeg(pct)</t>
  </si>
  <si>
    <t>GradDegToPct(deg)</t>
  </si>
  <si>
    <t>GradFtPerNmToDeg(ftPerNm)</t>
  </si>
  <si>
    <t>GradDegToFtPerNm(deg)</t>
  </si>
  <si>
    <t>ft/nm</t>
  </si>
  <si>
    <t>bank-deg</t>
  </si>
  <si>
    <t>TurnNz_fBankDeg</t>
  </si>
  <si>
    <t>Radius_ft_fNzKtas(nz, KTAS)</t>
  </si>
  <si>
    <t>Radius_ft_fBankDegKtas(bankDeg, KTAS)</t>
  </si>
  <si>
    <t>Nz_fRadiusFtKtas(radius, KTAS)</t>
  </si>
  <si>
    <t>Bank_deg_fRadiusKtas(radius, KTAS)</t>
  </si>
  <si>
    <t>Rate_degPerSec_fNzKtas(nz, KTAS)</t>
  </si>
  <si>
    <t>Rate_degPerSec_fBankDegKtas(bankDeg, KTAS)</t>
  </si>
  <si>
    <t>Nz_fTurnRateDegPerSecKtas(turnRateDegPerSec, KTAS)</t>
  </si>
  <si>
    <t>Bank_deg_fTurnRateDegPerSecKtas(turnRateDegPerSec, KTAS)</t>
  </si>
  <si>
    <t>Rate_degPerSec_fRadiusFtKtas(radius, KTAS)</t>
  </si>
  <si>
    <t>Radius_ft_fTurnRateDegPerSecKtas(turnRateDegPerSec, KTAS)</t>
  </si>
  <si>
    <t>nz</t>
  </si>
  <si>
    <t>ktas</t>
  </si>
  <si>
    <t>TurnBank_deg_fNz</t>
  </si>
  <si>
    <t>hp-ft</t>
  </si>
  <si>
    <t>isaDev-C</t>
  </si>
  <si>
    <t>Roc_HpFtPerMin_fHpIsaDevCGradFtPerNmKtas</t>
  </si>
  <si>
    <t>Roc_HpFtPerMin_fHpIsaDevCGradFtPerNmKcas</t>
  </si>
  <si>
    <t>Equivalent KCAS (needed to test R/C function of KCAS)</t>
  </si>
  <si>
    <t>GradFtPerNmToPct(ftPerNm)</t>
  </si>
  <si>
    <t>FtPerSecToKts(ftPerSec)</t>
  </si>
  <si>
    <t>KtsToFtPerSec(kts)</t>
  </si>
  <si>
    <t>(under 11 km)</t>
  </si>
  <si>
    <t>Lower Strat Hp- ft (11-20km)</t>
  </si>
  <si>
    <t>Inver Layer 1 Hp- ft (20-32km)</t>
  </si>
  <si>
    <t>Inver Layer 2 Hp- ft (32-47km)</t>
  </si>
  <si>
    <t xml:space="preserve">Stratopause </t>
  </si>
  <si>
    <t>Pressure- hPa</t>
  </si>
  <si>
    <t>Aircraft Heading (deg)</t>
  </si>
  <si>
    <t>Wind Heading (deg)</t>
  </si>
  <si>
    <t xml:space="preserve">Wind Speed </t>
  </si>
  <si>
    <t>ConvHPaToInHg(hPa)</t>
  </si>
  <si>
    <t>ConvHPaToLbfPerFt2(hPa)</t>
  </si>
  <si>
    <t>ConvHPaToLbfPerInch2(hPa)</t>
  </si>
  <si>
    <t>ConvInHgToHPa(inHg)</t>
  </si>
  <si>
    <t>ConvInHgToLbfPerFt2(inHg)</t>
  </si>
  <si>
    <t>ConvInHgToLbfPerInch2(inHg)</t>
  </si>
  <si>
    <t>ConvLbfPerFt2ToHPa(lbfPerFt2)</t>
  </si>
  <si>
    <t>ConvLbfPerFt2ToInHg(lbfPerFt2)</t>
  </si>
  <si>
    <t>ConvLbfPerFt2ToLbfPerInch2(lbfPerFt2)</t>
  </si>
  <si>
    <t>ConvLbfPerInch2ToHPa(lbfPerInch2)</t>
  </si>
  <si>
    <t>ConvLbfPerInch2ToInHg(lbfPerInch2)</t>
  </si>
  <si>
    <t>ConvLbfPerInch2ToLbfPerFt2(lbfPerInch2)</t>
  </si>
  <si>
    <t>Hp_ft_fPstaticHPa(pstaticHPa)</t>
  </si>
  <si>
    <t>Hp_ft_fPstaticInHg(pstaticInHg)</t>
  </si>
  <si>
    <t>Hp_ft_fPstaticLbPerFt2(pstaticLbPerFt2)</t>
  </si>
  <si>
    <t>Hp_ft_fPstaticLbPerInch2(pstaticLbPerInch2)</t>
  </si>
  <si>
    <t>Hp_ft_fQfeHPa(qfeHPa)</t>
  </si>
  <si>
    <t>Hp_ft_fQfeInHg(qfeInHg)</t>
  </si>
  <si>
    <t>Hp_ft_fQfeLbPerFt2(qfeLbPerFt2)</t>
  </si>
  <si>
    <t>Hp_ft_fQfeLbPerInch2(qfeLbPerInch2)</t>
  </si>
  <si>
    <t>rhoSTD-kg/m^3</t>
  </si>
  <si>
    <t>QNH-hPa</t>
  </si>
  <si>
    <t>Geopotential Alt-ft</t>
  </si>
  <si>
    <t>IsaDev-C</t>
  </si>
  <si>
    <t>Base Hp - ft</t>
  </si>
  <si>
    <t>dHp-ft</t>
  </si>
  <si>
    <t>Hp_fQnhHPaGeoPtlAlt(qnh, geoPtlAlt)</t>
  </si>
  <si>
    <t>Hp_fQnhInHgGeoPtlAlt(qnh, geoPtlAlt)</t>
  </si>
  <si>
    <t>Hp_fQnhLbfPerFt2GeoPtlAlt(qnh, geoPtlAlt)</t>
  </si>
  <si>
    <t>Hp_fQnhLbfPerInch2GeoPtlAlt(qnh, geoPtlAlt)</t>
  </si>
  <si>
    <t>Qnh_hPa_fHpGeoPtlAlt(hp, geoPtlAlt)</t>
  </si>
  <si>
    <t>Qnh_inHg_fHpGeoPtlAlt(hp, geoPtlAlt)</t>
  </si>
  <si>
    <t>Qnh_lbPerFt2_fHpGeoPtlAlt(hp, geoPtlAlt)</t>
  </si>
  <si>
    <t>Qnh_lbPerInch2_fHpGeoPtlAlt(hp, geoPtlAlt)</t>
  </si>
  <si>
    <t>DGeoPtlAlt_fDHpIsaDevCBaseHp(dHp, isaDevC, baseHp)</t>
  </si>
  <si>
    <t>DHp_fDGeoPtlAltIsaDevCBaseHp(dGeoPtlAlt, isaDevC, baseHp)</t>
  </si>
  <si>
    <t>QNH-inHg</t>
  </si>
  <si>
    <t>DegToRad</t>
  </si>
  <si>
    <t>RadToDeg</t>
  </si>
  <si>
    <t>TURNS</t>
  </si>
  <si>
    <t>CONVERSIONS</t>
  </si>
  <si>
    <t>RATE OF CLIMB FOR GRADIENT</t>
  </si>
  <si>
    <t xml:space="preserve">RUNWAY WIND COMPONENTS </t>
  </si>
  <si>
    <t>QNH &amp; PRESSURE ALTITUDE</t>
  </si>
  <si>
    <t>INCREMENTAL CHANGE IN PRESSURE &amp; GEOPOTENTIAL ALTITUDE</t>
  </si>
  <si>
    <t>PROPERTIES OF STANDARD ATMOSPHERE</t>
  </si>
  <si>
    <t>AIRSPEED, MACH, DYNAMIC PRESSURE AND COMPRESSIBLE Q</t>
  </si>
  <si>
    <t>DYNAMIC AND KINEMATIC VISCOSITY</t>
  </si>
  <si>
    <t>REYNOLDS NUMBER</t>
  </si>
  <si>
    <t>Gradient-ft/nm</t>
  </si>
  <si>
    <t>Angle-degrees</t>
  </si>
  <si>
    <t>Speed-ftPerSec</t>
  </si>
  <si>
    <t>Length-feet</t>
  </si>
  <si>
    <t>Density-slug/ft^3</t>
  </si>
  <si>
    <t>SlugPerFt3ToKgPerM3(C17)</t>
  </si>
  <si>
    <t>SlugPerFt3ToKgPerM3</t>
  </si>
  <si>
    <t>O/B</t>
  </si>
  <si>
    <t>WndHead_fAcHdgWndHdgWndSpd(acHdgDeg, wndHdgDeg, wndSpd)</t>
  </si>
  <si>
    <t>WndCross_fAcHdgWndHdgWndSpd(acHdgDeg, wndHdgDeg, wndSpd)</t>
  </si>
  <si>
    <t xml:space="preserve">This sheet exercises the functions in the AeroToolKit Add-In across a range of input conditions, creating fairly comprehensice code coverage (though less than 100%).  </t>
  </si>
  <si>
    <t>Functions are organized by type. Values in grey result from calls to the AeroToolKit functions. Values in white are expected results for the functions. Values in yellow are the % error between the computed toolkit values and the expected values.</t>
  </si>
  <si>
    <t xml:space="preserve">If making changes to the add-in, use this sheet for regression testing. </t>
  </si>
  <si>
    <t>FtPerSecToKmPerHr(ftPerSec)</t>
  </si>
  <si>
    <t>KtsToKmPerHr(kts)</t>
  </si>
  <si>
    <t>KmPerHrToKts(kmPerHr)</t>
  </si>
  <si>
    <t>KmPerHrToFtPerSec(kmPerHr)</t>
  </si>
  <si>
    <t>FtToKm(ft)</t>
  </si>
  <si>
    <t>FtToMile(ft)</t>
  </si>
  <si>
    <t>NmToKm(nm)</t>
  </si>
  <si>
    <t>NmToMile(nm)</t>
  </si>
  <si>
    <t>NmToMeter(nm)</t>
  </si>
  <si>
    <t>FtToMeter(ft)</t>
  </si>
  <si>
    <t>FtPerSecToMeterPerSec(ftPerSec)</t>
  </si>
  <si>
    <t>KtsToMeterPerSec(kts)</t>
  </si>
  <si>
    <t>MeterPerSecToKmPerHr(mPerSec)</t>
  </si>
  <si>
    <t>MeterPerSecToFtPerSec(mPerSec)</t>
  </si>
  <si>
    <t>MeterPerSecToKts(mPerSec)</t>
  </si>
  <si>
    <t>KmPerHrToMeterPerSec(kmPerHr)</t>
  </si>
  <si>
    <t>FtPerSecToMilePerHr(ftPerSec)</t>
  </si>
  <si>
    <t>KtsToMilePerHr(kts)</t>
  </si>
  <si>
    <t>MeterPerSecToMilePerHr(mPerSec)</t>
  </si>
  <si>
    <t>MilePerHrToKts(MilePerHr)</t>
  </si>
  <si>
    <t>MilePerHrToMeterPerSec(MilePerHr)</t>
  </si>
  <si>
    <t>MilePerHrToKmPerHr(MilePerHr)</t>
  </si>
  <si>
    <t>MilePerHrToFtPerSec(MilePerHr)</t>
  </si>
  <si>
    <t>KmPerHrToMilePerHr(kmPerHr)</t>
  </si>
  <si>
    <t>MeterToFt(meter)</t>
  </si>
  <si>
    <t>MeterToNm(meter)</t>
  </si>
  <si>
    <t>MeterToKm(meter)</t>
  </si>
  <si>
    <t>MeterToMile(meter)</t>
  </si>
  <si>
    <t>ConvMileToFt(mile)</t>
  </si>
  <si>
    <t>ConvMileToNm(mile)</t>
  </si>
  <si>
    <t>ConvMileToMeter(mile)</t>
  </si>
  <si>
    <t>ConvMileToKm(mile)</t>
  </si>
  <si>
    <t>ConvKmToFt(km)</t>
  </si>
  <si>
    <t>ConvKmToNm(km)</t>
  </si>
  <si>
    <t>ConvKmToMile(km)</t>
  </si>
  <si>
    <t>ConvKmToMeter(km)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</si>
</sst>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1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164" fontId="0" fillId="3" borderId="0" xfId="0" applyNumberFormat="1" applyFill="1" applyAlignment="1">
      <alignment horizontal="left"/>
    </xf>
    <xf numFmtId="164" fontId="0" fillId="0" borderId="0" xfId="0" applyNumberFormat="1" applyAlignment="1">
      <alignment horizontal="left"/>
    </xf>
    <xf numFmtId="0" fontId="3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5" fillId="0" borderId="0" xfId="0" applyFont="1"/>
    <xf numFmtId="0" fontId="6" fillId="0" borderId="0" xfId="0" applyFont="1" applyAlignment="1">
      <alignment horizontal="right"/>
    </xf>
    <xf numFmtId="0" fontId="4" fillId="2" borderId="0" xfId="0" applyFont="1" applyFill="1" applyAlignment="1">
      <alignment horizontal="left"/>
    </xf>
    <xf numFmtId="11" fontId="0" fillId="0" borderId="0" xfId="0" applyNumberFormat="1" applyAlignment="1">
      <alignment horizontal="left"/>
    </xf>
    <xf numFmtId="0" fontId="0" fillId="0" borderId="0" xfId="0"/>
    <xf numFmtId="0" fontId="1" fillId="0" borderId="0" xfId="0" applyFon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272/AeroProgs/StdAtmoAddIn/AeroToolKitAddIn/AeroToolKit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AeroConvCelsiusToFahrenheit"/>
      <definedName name="AeroConvCelsiusToKelvin"/>
      <definedName name="AeroConvCelsiustoRankine"/>
      <definedName name="AeroConvInHgToHPa"/>
      <definedName name="AeroDGeoPtlAlt_fDHpIsaDevCBaseHp"/>
      <definedName name="AeroRhoStdDay_SlugPerft3_fHp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AO257"/>
  <sheetViews>
    <sheetView tabSelected="1" topLeftCell="A203" zoomScale="70" zoomScaleNormal="70" workbookViewId="0">
      <selection activeCell="G214" sqref="G214"/>
    </sheetView>
  </sheetViews>
  <sheetFormatPr defaultRowHeight="15" x14ac:dyDescent="0.25"/>
  <cols>
    <col min="1" max="1" width="25.140625" style="7" customWidth="1"/>
    <col min="2" max="2" width="56.28515625" style="3" customWidth="1"/>
    <col min="3" max="5" width="15.42578125" style="8" customWidth="1"/>
    <col min="6" max="6" width="5.7109375" customWidth="1"/>
    <col min="7" max="7" width="19" style="7" bestFit="1" customWidth="1"/>
    <col min="8" max="8" width="14.85546875" style="3" bestFit="1" customWidth="1"/>
    <col min="9" max="9" width="14.85546875" style="8" bestFit="1" customWidth="1"/>
    <col min="10" max="10" width="14.7109375" bestFit="1" customWidth="1"/>
    <col min="11" max="11" width="11.5703125" bestFit="1" customWidth="1"/>
    <col min="12" max="12" width="5.5703125" customWidth="1"/>
    <col min="13" max="13" width="11.7109375" customWidth="1"/>
    <col min="14" max="14" width="14.85546875" style="7" bestFit="1" customWidth="1"/>
    <col min="15" max="15" width="14.85546875" style="8" bestFit="1" customWidth="1"/>
    <col min="16" max="17" width="14.85546875" style="8" customWidth="1"/>
    <col min="18" max="18" width="5.7109375" customWidth="1"/>
    <col min="19" max="19" width="11.5703125" customWidth="1"/>
    <col min="20" max="20" width="14.85546875" style="7" bestFit="1" customWidth="1"/>
    <col min="21" max="21" width="14.85546875" style="8" bestFit="1" customWidth="1"/>
    <col min="22" max="23" width="14.85546875" style="8" customWidth="1"/>
    <col min="24" max="24" width="5.7109375" customWidth="1"/>
    <col min="25" max="25" width="10.140625" bestFit="1" customWidth="1"/>
    <col min="26" max="26" width="14.85546875" style="7" bestFit="1" customWidth="1"/>
    <col min="27" max="27" width="14.85546875" style="8" bestFit="1" customWidth="1"/>
    <col min="28" max="29" width="14.85546875" style="8" customWidth="1"/>
    <col min="30" max="30" width="5.7109375" customWidth="1"/>
    <col min="31" max="31" width="13.85546875" bestFit="1" customWidth="1"/>
    <col min="32" max="32" width="14.85546875" style="7" customWidth="1"/>
    <col min="33" max="35" width="14.85546875" style="8" customWidth="1"/>
    <col min="36" max="36" width="5.85546875" customWidth="1"/>
    <col min="37" max="37" width="13.85546875" bestFit="1" customWidth="1"/>
    <col min="38" max="38" width="14.85546875" style="7" customWidth="1"/>
    <col min="39" max="41" width="14.85546875" style="8" customWidth="1"/>
  </cols>
  <sheetData>
    <row r="1" spans="1:41" x14ac:dyDescent="0.25">
      <c r="A1" s="8" t="s">
        <v>173</v>
      </c>
    </row>
    <row r="2" spans="1:41" x14ac:dyDescent="0.25">
      <c r="A2" s="8" t="s">
        <v>174</v>
      </c>
    </row>
    <row r="3" spans="1:41" x14ac:dyDescent="0.25">
      <c r="A3" s="8" t="s">
        <v>175</v>
      </c>
    </row>
    <row r="5" spans="1:41" x14ac:dyDescent="0.25">
      <c r="A5" s="5" t="s">
        <v>159</v>
      </c>
    </row>
    <row r="6" spans="1:41" s="2" customFormat="1" x14ac:dyDescent="0.25">
      <c r="A6" s="3" t="s">
        <v>24</v>
      </c>
      <c r="B6" s="19" t="s">
        <v>25</v>
      </c>
      <c r="C6" s="20"/>
      <c r="D6"/>
      <c r="E6"/>
      <c r="G6" s="3" t="s">
        <v>16</v>
      </c>
      <c r="H6" s="19" t="s">
        <v>17</v>
      </c>
      <c r="I6" s="20"/>
      <c r="M6" s="3" t="s">
        <v>45</v>
      </c>
      <c r="N6" s="19" t="s">
        <v>46</v>
      </c>
      <c r="O6" s="20"/>
      <c r="P6"/>
      <c r="Q6"/>
      <c r="S6" s="3" t="s">
        <v>18</v>
      </c>
      <c r="T6" s="19" t="s">
        <v>19</v>
      </c>
      <c r="U6" s="20"/>
      <c r="V6"/>
      <c r="W6"/>
      <c r="Y6" s="3" t="s">
        <v>48</v>
      </c>
      <c r="Z6" s="19" t="s">
        <v>47</v>
      </c>
      <c r="AA6" s="20"/>
      <c r="AB6"/>
      <c r="AC6"/>
      <c r="AE6" s="3" t="s">
        <v>49</v>
      </c>
      <c r="AF6" s="19" t="s">
        <v>50</v>
      </c>
      <c r="AG6" s="20"/>
      <c r="AH6"/>
      <c r="AI6"/>
      <c r="AK6" s="3" t="s">
        <v>52</v>
      </c>
      <c r="AL6" s="19" t="s">
        <v>53</v>
      </c>
      <c r="AM6" s="20"/>
      <c r="AN6"/>
      <c r="AO6"/>
    </row>
    <row r="7" spans="1:41" x14ac:dyDescent="0.25">
      <c r="A7" s="6">
        <v>40000</v>
      </c>
      <c r="B7" s="3" t="s">
        <v>0</v>
      </c>
      <c r="C7" s="9">
        <f>AeroDelta_fHp(hp)</f>
        <v>0.18508663099959033</v>
      </c>
      <c r="D7" s="8">
        <v>0.18508663099959033</v>
      </c>
      <c r="E7" s="10">
        <f>(C7-D7)/D7*100</f>
        <v>0</v>
      </c>
      <c r="G7" s="6">
        <v>-36.5</v>
      </c>
      <c r="H7" s="3" t="s">
        <v>5</v>
      </c>
      <c r="I7" s="9">
        <f>AeroConvCelsiusToKelvin(oatC)</f>
        <v>236.64999999999998</v>
      </c>
      <c r="J7">
        <v>236.64999999999998</v>
      </c>
      <c r="K7" s="10">
        <f>(I7-J7)/J7*100</f>
        <v>0</v>
      </c>
      <c r="M7" s="1">
        <f>[1]!AeroConvCelsiusToKelvin(oatC)</f>
        <v>236.64999999999998</v>
      </c>
      <c r="N7" s="3" t="s">
        <v>51</v>
      </c>
      <c r="O7" s="9">
        <v>-36.5</v>
      </c>
      <c r="P7">
        <v>-36.5</v>
      </c>
      <c r="Q7" s="10">
        <f>(O7-P7)/P7*100</f>
        <v>0</v>
      </c>
      <c r="S7" s="1">
        <f>[1]!AeroConvCelsiusToFahrenheit(oatC)</f>
        <v>-33.700000000000045</v>
      </c>
      <c r="T7" s="3" t="s">
        <v>51</v>
      </c>
      <c r="U7" s="9">
        <f>AeroConvFahrenheitToCelsius(oatF)</f>
        <v>-36.500000000000021</v>
      </c>
      <c r="V7" s="8">
        <v>-36.5</v>
      </c>
      <c r="W7" s="10">
        <f>(U7-V7)/V7*100</f>
        <v>5.8400772802200009E-14</v>
      </c>
      <c r="Y7" s="1">
        <f>[1]!AeroConvCelsiustoRankine(oatC)</f>
        <v>425.96999999999997</v>
      </c>
      <c r="Z7" s="3" t="s">
        <v>51</v>
      </c>
      <c r="AA7" s="9">
        <f>AeroConvRankineToCelsius(oatR)</f>
        <v>-36.5</v>
      </c>
      <c r="AB7" s="8">
        <v>-36.5</v>
      </c>
      <c r="AC7" s="10">
        <f>(AA7-AB7)/AB7*100</f>
        <v>0</v>
      </c>
      <c r="AE7" s="1">
        <v>20</v>
      </c>
      <c r="AF7" s="3" t="s">
        <v>51</v>
      </c>
      <c r="AG7" s="9">
        <f>AeroOAT_Celsius_fISAdevCelsiusHp(isaDevC,hp)</f>
        <v>-36.499999999999972</v>
      </c>
      <c r="AH7" s="8">
        <v>-36.499999999999972</v>
      </c>
      <c r="AI7" s="10">
        <f>(AG7-AH7)/AH7*100</f>
        <v>0</v>
      </c>
      <c r="AK7" s="1">
        <v>36</v>
      </c>
      <c r="AL7" s="3" t="s">
        <v>51</v>
      </c>
      <c r="AM7" s="9">
        <f>AeroOAT_Celsius_fISAdevFahrenheitHp(isaDevF,hp)</f>
        <v>-36.499999999999972</v>
      </c>
      <c r="AN7" s="8">
        <v>-36.499999999999972</v>
      </c>
      <c r="AO7" s="10">
        <f>(AM7-AN7)/AN7*100</f>
        <v>0</v>
      </c>
    </row>
    <row r="8" spans="1:41" x14ac:dyDescent="0.25">
      <c r="A8" s="8" t="s">
        <v>106</v>
      </c>
      <c r="B8" s="3" t="s">
        <v>12</v>
      </c>
      <c r="C8" s="9">
        <f>AeroOatStdDay_Celsius_fHp(hp)</f>
        <v>-56.499999999999972</v>
      </c>
      <c r="D8" s="8">
        <v>-56.499999999999972</v>
      </c>
      <c r="E8" s="10">
        <f t="shared" ref="E8:E28" si="0">(C8-D8)/D8*100</f>
        <v>0</v>
      </c>
      <c r="H8" s="3" t="s">
        <v>6</v>
      </c>
      <c r="I8" s="9">
        <f>AeroConvCelsiusToFahrenheit(oatC)</f>
        <v>-33.700000000000045</v>
      </c>
      <c r="J8">
        <v>-33.700000000000045</v>
      </c>
      <c r="K8" s="10">
        <f t="shared" ref="K8:K19" si="1">(I8-J8)/J8*100</f>
        <v>0</v>
      </c>
      <c r="N8" s="3" t="s">
        <v>6</v>
      </c>
      <c r="O8" s="9">
        <f>AeroConvKelvinToFahrenheit(oatK)</f>
        <v>-33.700000000000045</v>
      </c>
      <c r="P8">
        <v>-33.700000000000003</v>
      </c>
      <c r="Q8" s="10">
        <f t="shared" ref="Q8:Q19" si="2">(O8-P8)/P8*100</f>
        <v>1.2650612506114542E-13</v>
      </c>
      <c r="T8" s="3" t="s">
        <v>5</v>
      </c>
      <c r="U8" s="9">
        <f>AeroConvFahrenheitToKelvin(oatF)</f>
        <v>236.64999999999998</v>
      </c>
      <c r="V8" s="8">
        <v>236.65</v>
      </c>
      <c r="W8" s="10">
        <f t="shared" ref="W8:W19" si="3">(U8-V8)/V8*100</f>
        <v>-1.2010018774732309E-14</v>
      </c>
      <c r="Z8" s="3" t="s">
        <v>5</v>
      </c>
      <c r="AA8" s="9">
        <f>AeroConvRankineToKelvin(oatR)</f>
        <v>236.64999999999998</v>
      </c>
      <c r="AB8" s="8">
        <v>236.65</v>
      </c>
      <c r="AC8" s="10">
        <f t="shared" ref="AC8:AC19" si="4">(AA8-AB8)/AB8*100</f>
        <v>-1.2010018774732309E-14</v>
      </c>
      <c r="AF8" s="3" t="s">
        <v>5</v>
      </c>
      <c r="AG8" s="9">
        <f>AeroOAT_Kelvin_fISAdevCelsiusHp(isaDevC,hp)</f>
        <v>236.65</v>
      </c>
      <c r="AH8" s="8">
        <v>236.65</v>
      </c>
      <c r="AI8" s="10">
        <f t="shared" ref="AI8:AI19" si="5">(AG8-AH8)/AH8*100</f>
        <v>0</v>
      </c>
      <c r="AL8" s="3" t="s">
        <v>5</v>
      </c>
      <c r="AM8" s="9">
        <f>AeroOAT_Kelvin_fISAdevFahrenheitHp(isaDevF,hp)</f>
        <v>236.65</v>
      </c>
      <c r="AN8" s="8">
        <v>236.65</v>
      </c>
      <c r="AO8" s="10">
        <f t="shared" ref="AO8:AO19" si="6">(AM8-AN8)/AN8*100</f>
        <v>0</v>
      </c>
    </row>
    <row r="9" spans="1:41" x14ac:dyDescent="0.25">
      <c r="B9" s="3" t="s">
        <v>13</v>
      </c>
      <c r="C9" s="9">
        <f>AeroOatStdDay_Kelvin_fHp(hp)</f>
        <v>216.65</v>
      </c>
      <c r="D9" s="8">
        <v>216.65</v>
      </c>
      <c r="E9" s="10">
        <f t="shared" si="0"/>
        <v>0</v>
      </c>
      <c r="H9" s="3" t="s">
        <v>7</v>
      </c>
      <c r="I9" s="9">
        <f>AeroConvCelsiustoRankine(oatC)</f>
        <v>425.96999999999997</v>
      </c>
      <c r="J9">
        <v>425.96999999999997</v>
      </c>
      <c r="K9" s="10">
        <f t="shared" si="1"/>
        <v>0</v>
      </c>
      <c r="N9" s="3" t="s">
        <v>7</v>
      </c>
      <c r="O9" s="9">
        <f>AeroConvKelvinToRankine(oatK)</f>
        <v>425.96999999999997</v>
      </c>
      <c r="P9">
        <v>425.97</v>
      </c>
      <c r="Q9" s="10">
        <f t="shared" si="2"/>
        <v>-1.334446530525812E-14</v>
      </c>
      <c r="T9" s="3" t="s">
        <v>7</v>
      </c>
      <c r="U9" s="9">
        <f>AeroConvFahrenheitToRankine(oatF)</f>
        <v>425.96999999999997</v>
      </c>
      <c r="V9" s="8">
        <v>425.96999999999997</v>
      </c>
      <c r="W9" s="10">
        <f t="shared" si="3"/>
        <v>0</v>
      </c>
      <c r="Z9" s="3" t="s">
        <v>6</v>
      </c>
      <c r="AA9" s="9">
        <f>AeroConvRankineToFahrenheit(oatR)</f>
        <v>-33.700000000000045</v>
      </c>
      <c r="AB9" s="8">
        <v>-33.700000000000045</v>
      </c>
      <c r="AC9" s="10">
        <f t="shared" si="4"/>
        <v>0</v>
      </c>
      <c r="AF9" s="3" t="s">
        <v>6</v>
      </c>
      <c r="AG9" s="9">
        <f>AeroOAT_Fahrenheit_fISAdevCelsiusHp(isaDevC,hp)</f>
        <v>-33.699999999999989</v>
      </c>
      <c r="AH9" s="8">
        <v>-33.699999999999989</v>
      </c>
      <c r="AI9" s="10">
        <f t="shared" si="5"/>
        <v>0</v>
      </c>
      <c r="AL9" s="3" t="s">
        <v>6</v>
      </c>
      <c r="AM9" s="9">
        <f>AeroOAT_Fahrenheit_fISAdevFahrenheitHp(isaDevF,hp)</f>
        <v>-33.699999999999989</v>
      </c>
      <c r="AN9" s="8">
        <v>-33.699999999999989</v>
      </c>
      <c r="AO9" s="10">
        <f t="shared" si="6"/>
        <v>0</v>
      </c>
    </row>
    <row r="10" spans="1:41" x14ac:dyDescent="0.25">
      <c r="B10" s="3" t="s">
        <v>14</v>
      </c>
      <c r="C10" s="9">
        <f>AeroOatStdDay_Fahrenheit_fHp(hp)</f>
        <v>-69.699999999999989</v>
      </c>
      <c r="D10" s="8">
        <v>-69.699999999999989</v>
      </c>
      <c r="E10" s="10">
        <f t="shared" si="0"/>
        <v>0</v>
      </c>
      <c r="H10" s="3" t="s">
        <v>20</v>
      </c>
      <c r="I10" s="9">
        <f>AeroSpdSnd_KTS_fOATCelsius(oatC)</f>
        <v>599.45934848488525</v>
      </c>
      <c r="J10">
        <v>599.45934848488525</v>
      </c>
      <c r="K10" s="10">
        <f t="shared" si="1"/>
        <v>0</v>
      </c>
      <c r="N10" s="3" t="s">
        <v>20</v>
      </c>
      <c r="O10" s="9">
        <f>AeroSpdSnd_KTS_fOATKelvin(oatK)</f>
        <v>599.45934848488525</v>
      </c>
      <c r="P10">
        <v>599.45934848488503</v>
      </c>
      <c r="Q10" s="10">
        <f t="shared" si="2"/>
        <v>3.7929790571773044E-14</v>
      </c>
      <c r="T10" s="3" t="s">
        <v>20</v>
      </c>
      <c r="U10" s="9">
        <f>AeroSpdSnd_KTS_fOATFahrenheit(oatF)</f>
        <v>599.45934848488525</v>
      </c>
      <c r="V10" s="8">
        <v>599.45934848488525</v>
      </c>
      <c r="W10" s="10">
        <f t="shared" si="3"/>
        <v>0</v>
      </c>
      <c r="Z10" s="3" t="s">
        <v>20</v>
      </c>
      <c r="AA10" s="9">
        <f>AeroSpdSnd_KTS_fOATRankine(oatR)</f>
        <v>599.45934848488525</v>
      </c>
      <c r="AB10" s="8">
        <v>599.45934848488525</v>
      </c>
      <c r="AC10" s="10">
        <f t="shared" si="4"/>
        <v>0</v>
      </c>
      <c r="AF10" s="3" t="s">
        <v>7</v>
      </c>
      <c r="AG10" s="9">
        <f>AeroOAT_Rankine_fISAdevCelsiusHp(isaDevC,hp)</f>
        <v>425.97</v>
      </c>
      <c r="AH10" s="8">
        <v>425.97</v>
      </c>
      <c r="AI10" s="10">
        <f t="shared" si="5"/>
        <v>0</v>
      </c>
      <c r="AL10" s="3" t="s">
        <v>7</v>
      </c>
      <c r="AM10" s="9">
        <f>AeroOAT_Rankine_fISAdevFahrenheitHp(isaDevF,hp)</f>
        <v>425.97</v>
      </c>
      <c r="AN10" s="8">
        <v>425.97</v>
      </c>
      <c r="AO10" s="10">
        <f t="shared" si="6"/>
        <v>0</v>
      </c>
    </row>
    <row r="11" spans="1:41" x14ac:dyDescent="0.25">
      <c r="B11" s="3" t="s">
        <v>15</v>
      </c>
      <c r="C11" s="9">
        <f>AeroOatStdDay_Rankine_fHp(hp)</f>
        <v>389.97</v>
      </c>
      <c r="D11" s="8">
        <v>389.97</v>
      </c>
      <c r="E11" s="10">
        <f t="shared" si="0"/>
        <v>0</v>
      </c>
      <c r="H11" s="3" t="s">
        <v>30</v>
      </c>
      <c r="I11" s="9">
        <f>AeroSpdSnd_milePerHr_fOATCelsius(oatC)</f>
        <v>689.8454981619891</v>
      </c>
      <c r="J11">
        <v>689.8454981619891</v>
      </c>
      <c r="K11" s="10">
        <f t="shared" si="1"/>
        <v>0</v>
      </c>
      <c r="N11" s="3" t="s">
        <v>30</v>
      </c>
      <c r="O11" s="9">
        <f>AeroSpdSnd_milePerHr_fOATKelvin(oatK)</f>
        <v>689.8454981619891</v>
      </c>
      <c r="P11">
        <v>689.84549816198898</v>
      </c>
      <c r="Q11" s="10">
        <f t="shared" si="2"/>
        <v>1.648004343356897E-14</v>
      </c>
      <c r="T11" s="3" t="s">
        <v>30</v>
      </c>
      <c r="U11" s="9">
        <f>AeroSpdSnd_milePerHr_fOATFahrenheit(oatF)</f>
        <v>689.8454981619891</v>
      </c>
      <c r="V11" s="8">
        <v>689.8454981619891</v>
      </c>
      <c r="W11" s="10">
        <f t="shared" si="3"/>
        <v>0</v>
      </c>
      <c r="Z11" s="3" t="s">
        <v>30</v>
      </c>
      <c r="AA11" s="9">
        <f>AeroSpdSnd_milePerHr_fOATRankine(oatR)</f>
        <v>689.8454981619891</v>
      </c>
      <c r="AB11" s="8">
        <v>689.8454981619891</v>
      </c>
      <c r="AC11" s="10">
        <f t="shared" si="4"/>
        <v>0</v>
      </c>
      <c r="AF11" s="3" t="s">
        <v>20</v>
      </c>
      <c r="AG11" s="9">
        <f>AeroSpdSnd_KTS_fISAdevCelsiusHp(isaDevC,hp)</f>
        <v>599.45934848488525</v>
      </c>
      <c r="AH11" s="8">
        <v>599.45934848488525</v>
      </c>
      <c r="AI11" s="10">
        <f t="shared" si="5"/>
        <v>0</v>
      </c>
      <c r="AL11" s="3" t="s">
        <v>20</v>
      </c>
      <c r="AM11" s="9">
        <f>AeroSpdSnd_KTS_fISAdevFahrenheitHp(isaDevF,hp)</f>
        <v>599.45934848488525</v>
      </c>
      <c r="AN11" s="8">
        <v>599.45934848488525</v>
      </c>
      <c r="AO11" s="10">
        <f t="shared" si="6"/>
        <v>0</v>
      </c>
    </row>
    <row r="12" spans="1:41" x14ac:dyDescent="0.25">
      <c r="B12" s="3" t="s">
        <v>22</v>
      </c>
      <c r="C12" s="9">
        <f>AeroSpdSndStdDay_KTS_fHp(hp)</f>
        <v>573.56920984484691</v>
      </c>
      <c r="D12" s="8">
        <v>573.56920984484691</v>
      </c>
      <c r="E12" s="10">
        <f>(C12-D12)/D12*100</f>
        <v>0</v>
      </c>
      <c r="H12" s="3" t="s">
        <v>31</v>
      </c>
      <c r="I12" s="9">
        <f>AeroSpdSnd_kmPerHr_fOATCelsius(oatC)</f>
        <v>1110.1987133940081</v>
      </c>
      <c r="J12">
        <v>1110.1987133940081</v>
      </c>
      <c r="K12" s="10">
        <f t="shared" si="1"/>
        <v>0</v>
      </c>
      <c r="N12" s="3" t="s">
        <v>31</v>
      </c>
      <c r="O12" s="9">
        <f>AeroSpdSnd_kmPerHr_fOATKelvin(oatK)</f>
        <v>1110.1987133940081</v>
      </c>
      <c r="P12">
        <v>1110.1987133940099</v>
      </c>
      <c r="Q12" s="10">
        <f t="shared" si="2"/>
        <v>-1.6384358778303651E-13</v>
      </c>
      <c r="T12" s="3" t="s">
        <v>31</v>
      </c>
      <c r="U12" s="9">
        <f>AeroSpdSnd_kmPerHr_fOATFahrenheit(oatF)</f>
        <v>1110.1987133940081</v>
      </c>
      <c r="V12" s="8">
        <v>1110.1987133940081</v>
      </c>
      <c r="W12" s="10">
        <f t="shared" si="3"/>
        <v>0</v>
      </c>
      <c r="Z12" s="3" t="s">
        <v>31</v>
      </c>
      <c r="AA12" s="9">
        <f>AeroSpdSnd_kmPerHr_fOATRankine(oatR)</f>
        <v>1110.1987133940081</v>
      </c>
      <c r="AB12" s="8">
        <v>1110.1987133940081</v>
      </c>
      <c r="AC12" s="10">
        <f t="shared" si="4"/>
        <v>0</v>
      </c>
      <c r="AF12" s="3" t="s">
        <v>30</v>
      </c>
      <c r="AG12" s="9">
        <f>AeroSpdSnd_milePerHr_fISAdevCelsiusHp(isaDevC,hp)</f>
        <v>689.8454981619891</v>
      </c>
      <c r="AH12" s="8">
        <v>689.8454981619891</v>
      </c>
      <c r="AI12" s="10">
        <f t="shared" si="5"/>
        <v>0</v>
      </c>
      <c r="AL12" s="3" t="s">
        <v>30</v>
      </c>
      <c r="AM12" s="9">
        <f>AeroSpdSnd_milePerHr_fISAdevFahrenheitHp(isaDevF,hp)</f>
        <v>689.8454981619891</v>
      </c>
      <c r="AN12" s="8">
        <v>689.8454981619891</v>
      </c>
      <c r="AO12" s="10">
        <f t="shared" si="6"/>
        <v>0</v>
      </c>
    </row>
    <row r="13" spans="1:41" x14ac:dyDescent="0.25">
      <c r="B13" s="3" t="s">
        <v>26</v>
      </c>
      <c r="C13" s="9">
        <f>AeroSpdSndStdDay_milePerHr_fHp(hp)</f>
        <v>660.05165870855285</v>
      </c>
      <c r="D13" s="8">
        <v>660.05165870855285</v>
      </c>
      <c r="E13" s="10">
        <f t="shared" si="0"/>
        <v>0</v>
      </c>
      <c r="H13" s="3" t="s">
        <v>21</v>
      </c>
      <c r="I13" s="9">
        <f>AeroSpdSnd_ftPerSec_fOATCelsius(oatC)</f>
        <v>1011.7733973042507</v>
      </c>
      <c r="J13">
        <v>1011.7733973042507</v>
      </c>
      <c r="K13" s="10">
        <f t="shared" si="1"/>
        <v>0</v>
      </c>
      <c r="N13" s="3" t="s">
        <v>21</v>
      </c>
      <c r="O13" s="9">
        <f>AeroSpdSnd_ftPerSec_fOATKelvin(oatK)</f>
        <v>1011.7733973042507</v>
      </c>
      <c r="P13">
        <v>1011.77339730425</v>
      </c>
      <c r="Q13" s="10">
        <f t="shared" si="2"/>
        <v>6.7418359500964001E-14</v>
      </c>
      <c r="T13" s="3" t="s">
        <v>21</v>
      </c>
      <c r="U13" s="9">
        <f>AeroSpdSnd_ftPerSec_fOATFahrenheit(oatF)</f>
        <v>1011.7733973042507</v>
      </c>
      <c r="V13" s="8">
        <v>1011.7733973042507</v>
      </c>
      <c r="W13" s="10">
        <f t="shared" si="3"/>
        <v>0</v>
      </c>
      <c r="Z13" s="3" t="s">
        <v>21</v>
      </c>
      <c r="AA13" s="9">
        <f>AeroSpdSnd_ftPerSec_fOATRankine(oatR)</f>
        <v>1011.7733973042507</v>
      </c>
      <c r="AB13" s="8">
        <v>1011.7733973042507</v>
      </c>
      <c r="AC13" s="10">
        <f t="shared" si="4"/>
        <v>0</v>
      </c>
      <c r="AF13" s="3" t="s">
        <v>31</v>
      </c>
      <c r="AG13" s="9">
        <f>AeroSpdSnd_kmPerHr_fISAdevCelsiusHp(isaDevC,hp)</f>
        <v>1110.1987133940081</v>
      </c>
      <c r="AH13" s="8">
        <v>1110.1987133940081</v>
      </c>
      <c r="AI13" s="10">
        <f t="shared" si="5"/>
        <v>0</v>
      </c>
      <c r="AL13" s="3" t="s">
        <v>31</v>
      </c>
      <c r="AM13" s="9">
        <f>AeroSpdSnd_kmPerHr_fISAdevFahrenheitHp(isaDevF,hp)</f>
        <v>1110.1987133940081</v>
      </c>
      <c r="AN13" s="8">
        <v>1110.1987133940081</v>
      </c>
      <c r="AO13" s="10">
        <f t="shared" si="6"/>
        <v>0</v>
      </c>
    </row>
    <row r="14" spans="1:41" x14ac:dyDescent="0.25">
      <c r="B14" s="3" t="s">
        <v>27</v>
      </c>
      <c r="C14" s="9">
        <f>AeroSpdSndStdDay_kmPerHr_fHp(hp)</f>
        <v>1062.2501766326573</v>
      </c>
      <c r="D14" s="8">
        <v>1062.2501766326573</v>
      </c>
      <c r="E14" s="10">
        <f t="shared" si="0"/>
        <v>0</v>
      </c>
      <c r="H14" s="3" t="s">
        <v>29</v>
      </c>
      <c r="I14" s="9">
        <f>AeroSpdSnd_meterPerSec_fOATCelsius(oatC)</f>
        <v>308.38853149833562</v>
      </c>
      <c r="J14">
        <v>308.38853149833562</v>
      </c>
      <c r="K14" s="10">
        <f t="shared" si="1"/>
        <v>0</v>
      </c>
      <c r="N14" s="3" t="s">
        <v>29</v>
      </c>
      <c r="O14" s="9">
        <f>AeroSpdSnd_meterPerSec_fOATKelvin(oatK)</f>
        <v>308.38853149833562</v>
      </c>
      <c r="P14">
        <v>308.38853149833602</v>
      </c>
      <c r="Q14" s="10">
        <f>(O14-P14)/P14*100</f>
        <v>-1.2902682537914126E-13</v>
      </c>
      <c r="T14" s="3" t="s">
        <v>29</v>
      </c>
      <c r="U14" s="9">
        <f>AeroSpdSnd_meterPerSec_fOATFahrenheit(oatF)</f>
        <v>308.38853149833562</v>
      </c>
      <c r="V14" s="8">
        <v>308.38853149833562</v>
      </c>
      <c r="W14" s="10">
        <f t="shared" si="3"/>
        <v>0</v>
      </c>
      <c r="Z14" s="3" t="s">
        <v>29</v>
      </c>
      <c r="AA14" s="9">
        <f>AeroSpdSnd_meterPerSec_fOATRankine(oatR)</f>
        <v>308.38853149833562</v>
      </c>
      <c r="AB14" s="8">
        <v>308.38853149833562</v>
      </c>
      <c r="AC14" s="10">
        <f t="shared" si="4"/>
        <v>0</v>
      </c>
      <c r="AF14" s="3" t="s">
        <v>21</v>
      </c>
      <c r="AG14" s="9">
        <f>AeroSpdSnd_ftPerSec_fISAdevCelsiusHp(isaDevC,hp)</f>
        <v>1011.7733973042507</v>
      </c>
      <c r="AH14" s="8">
        <v>1011.7733973042507</v>
      </c>
      <c r="AI14" s="10">
        <f t="shared" si="5"/>
        <v>0</v>
      </c>
      <c r="AL14" s="3" t="s">
        <v>21</v>
      </c>
      <c r="AM14" s="9">
        <f>AeroSpdSnd_ftPerSec_fISAdevFahrenheitHp(isaDevF,hp)</f>
        <v>1011.7733973042507</v>
      </c>
      <c r="AN14" s="8">
        <v>1011.7733973042507</v>
      </c>
      <c r="AO14" s="10">
        <f t="shared" si="6"/>
        <v>0</v>
      </c>
    </row>
    <row r="15" spans="1:41" x14ac:dyDescent="0.25">
      <c r="B15" s="3" t="s">
        <v>23</v>
      </c>
      <c r="C15" s="9">
        <f>AeroSpdSndStdDay_ftPerSec_fHp(hp)</f>
        <v>968.07576610587739</v>
      </c>
      <c r="D15" s="8">
        <v>968.07576610587739</v>
      </c>
      <c r="E15" s="10">
        <f t="shared" si="0"/>
        <v>0</v>
      </c>
      <c r="H15" s="3" t="s">
        <v>65</v>
      </c>
      <c r="I15" s="9">
        <f>AeroRho_SlugPerFt3_fHpOATCelsius(hp,oatC)</f>
        <v>5.3566921570916278E-4</v>
      </c>
      <c r="J15">
        <v>5.3566921570916278E-4</v>
      </c>
      <c r="K15" s="10">
        <f t="shared" si="1"/>
        <v>0</v>
      </c>
      <c r="N15" s="3" t="s">
        <v>65</v>
      </c>
      <c r="O15" s="9">
        <f>AeroRho_SlugPerFt3_fHpOATKelvin(hp,oatK)</f>
        <v>5.3566921570916278E-4</v>
      </c>
      <c r="P15">
        <v>5.35669215709163E-4</v>
      </c>
      <c r="Q15" s="10">
        <f t="shared" si="2"/>
        <v>-4.048028674002288E-14</v>
      </c>
      <c r="T15" s="3" t="s">
        <v>65</v>
      </c>
      <c r="U15" s="9">
        <f>AeroRho_SlugPerFt3_fHpOATFahrenheit(hp,oatF)</f>
        <v>5.3566921570916278E-4</v>
      </c>
      <c r="V15" s="8">
        <v>5.3566921570916278E-4</v>
      </c>
      <c r="W15" s="10">
        <f t="shared" si="3"/>
        <v>0</v>
      </c>
      <c r="Z15" s="3" t="s">
        <v>65</v>
      </c>
      <c r="AA15" s="9">
        <f>AeroRho_SlugPerFt3_fHpOATRankine(hp,oatR)</f>
        <v>5.3566921570916278E-4</v>
      </c>
      <c r="AB15" s="8">
        <v>5.3566921570916278E-4</v>
      </c>
      <c r="AC15" s="10">
        <f t="shared" si="4"/>
        <v>0</v>
      </c>
      <c r="AF15" s="3" t="s">
        <v>65</v>
      </c>
      <c r="AG15" s="9">
        <f>AeroRho_SlugPerFt3_fHpISAdevCelsius(hp,isaDevC)</f>
        <v>5.3566921570916267E-4</v>
      </c>
      <c r="AH15" s="8">
        <v>5.3566921570916267E-4</v>
      </c>
      <c r="AI15" s="10">
        <f t="shared" si="5"/>
        <v>0</v>
      </c>
      <c r="AL15" s="3" t="s">
        <v>65</v>
      </c>
      <c r="AM15" s="9">
        <f>AeroRho_SlugPerFt3_fHpISAdevFahrenheit(hp,isaDevF)</f>
        <v>5.3566921570916267E-4</v>
      </c>
      <c r="AN15" s="8">
        <v>5.3566921570916267E-4</v>
      </c>
      <c r="AO15" s="10">
        <f t="shared" si="6"/>
        <v>0</v>
      </c>
    </row>
    <row r="16" spans="1:41" x14ac:dyDescent="0.25">
      <c r="B16" s="3" t="s">
        <v>28</v>
      </c>
      <c r="C16" s="9">
        <f>AeroSpdSndStdDay_meterPerSec_fHp(hp)</f>
        <v>295.06949350907144</v>
      </c>
      <c r="D16" s="8">
        <v>295.06949350907144</v>
      </c>
      <c r="E16" s="10">
        <f t="shared" si="0"/>
        <v>0</v>
      </c>
      <c r="H16" s="3" t="s">
        <v>8</v>
      </c>
      <c r="I16" s="9">
        <f>AeroTheta_fOATCelsius(oatC)</f>
        <v>0.8212736422002429</v>
      </c>
      <c r="J16">
        <v>0.8212736422002429</v>
      </c>
      <c r="K16" s="10">
        <f t="shared" si="1"/>
        <v>0</v>
      </c>
      <c r="N16" s="3" t="s">
        <v>8</v>
      </c>
      <c r="O16" s="9">
        <f>AeroTheta_fOATKelvin(oatK)</f>
        <v>0.8212736422002429</v>
      </c>
      <c r="P16">
        <v>0.82127364220024301</v>
      </c>
      <c r="Q16" s="10">
        <f t="shared" si="2"/>
        <v>-1.3518308241949664E-14</v>
      </c>
      <c r="T16" s="3" t="s">
        <v>8</v>
      </c>
      <c r="U16" s="9">
        <f>AeroTheta_fOATFahrenheit(oatF)</f>
        <v>0.8212736422002429</v>
      </c>
      <c r="V16" s="8">
        <v>0.8212736422002429</v>
      </c>
      <c r="W16" s="10">
        <f t="shared" si="3"/>
        <v>0</v>
      </c>
      <c r="Z16" s="3" t="s">
        <v>8</v>
      </c>
      <c r="AA16" s="9">
        <f>AeroTheta_fOATRankine(oatR)</f>
        <v>0.8212736422002429</v>
      </c>
      <c r="AB16" s="8">
        <v>0.8212736422002429</v>
      </c>
      <c r="AC16" s="10">
        <f t="shared" si="4"/>
        <v>0</v>
      </c>
      <c r="AF16" s="3" t="s">
        <v>29</v>
      </c>
      <c r="AG16" s="9">
        <f>AeroSpdSnd_meterPerSec_fISAdevCelsiusHp(isaDevC,hp)</f>
        <v>308.38853149833562</v>
      </c>
      <c r="AH16" s="8">
        <v>308.38853149833562</v>
      </c>
      <c r="AI16" s="10">
        <f t="shared" si="5"/>
        <v>0</v>
      </c>
      <c r="AL16" s="3" t="s">
        <v>29</v>
      </c>
      <c r="AM16" s="9">
        <f>AeroSpdSnd_meterPerSec_fISAdevFahrenheitHp(isaDevF,hp)</f>
        <v>308.38853149833562</v>
      </c>
      <c r="AN16" s="8">
        <v>308.38853149833562</v>
      </c>
      <c r="AO16" s="10">
        <f t="shared" si="6"/>
        <v>0</v>
      </c>
    </row>
    <row r="17" spans="1:41" ht="15" customHeight="1" x14ac:dyDescent="0.25">
      <c r="B17" s="3" t="s">
        <v>2</v>
      </c>
      <c r="C17" s="9">
        <f>AeroPstatic_lbfPerFt2_fHp(hp)</f>
        <v>391.68340534113742</v>
      </c>
      <c r="D17" s="8">
        <v>391.68340534113742</v>
      </c>
      <c r="E17" s="10">
        <f t="shared" si="0"/>
        <v>0</v>
      </c>
      <c r="H17" s="3" t="s">
        <v>11</v>
      </c>
      <c r="I17" s="9">
        <f>AeroSigma_fOATCelsiusHp(oatC,hp)</f>
        <v>0.22536536117697847</v>
      </c>
      <c r="J17">
        <v>0.22536536117697847</v>
      </c>
      <c r="K17" s="10">
        <f t="shared" si="1"/>
        <v>0</v>
      </c>
      <c r="N17" s="3" t="s">
        <v>11</v>
      </c>
      <c r="O17" s="9">
        <f>AeroSigma_fOATKelvinHp(oatK,hp)</f>
        <v>0.22536536117697847</v>
      </c>
      <c r="P17">
        <v>0.22536536117697847</v>
      </c>
      <c r="Q17" s="10">
        <f t="shared" si="2"/>
        <v>0</v>
      </c>
      <c r="T17" s="3" t="s">
        <v>11</v>
      </c>
      <c r="U17" s="9">
        <f>AeroSigma_fOATFahrenheitHp(oatF,hp)</f>
        <v>0.22536536117697847</v>
      </c>
      <c r="V17" s="8">
        <v>0.22536536117697847</v>
      </c>
      <c r="W17" s="10">
        <f t="shared" si="3"/>
        <v>0</v>
      </c>
      <c r="Z17" s="3" t="s">
        <v>11</v>
      </c>
      <c r="AA17" s="9">
        <f>AeroSigma_fOATRankineHp(oatR,hp)</f>
        <v>0.22536536117697847</v>
      </c>
      <c r="AB17" s="8">
        <v>0.22536536117697847</v>
      </c>
      <c r="AC17" s="10">
        <f t="shared" si="4"/>
        <v>0</v>
      </c>
      <c r="AF17" s="3" t="s">
        <v>8</v>
      </c>
      <c r="AG17" s="9">
        <f>AeroTheta_fISAdevCelsiusHp(isaDevC,hp)</f>
        <v>0.82127364220024301</v>
      </c>
      <c r="AH17" s="8">
        <v>0.82127364220024301</v>
      </c>
      <c r="AI17" s="10">
        <f t="shared" si="5"/>
        <v>0</v>
      </c>
      <c r="AL17" s="3" t="s">
        <v>8</v>
      </c>
      <c r="AM17" s="9">
        <f>AeroTheta_fISAdevFahrenheitHp(isaDevF,hp)</f>
        <v>0.82127364220024301</v>
      </c>
      <c r="AN17" s="8">
        <v>0.82127364220024301</v>
      </c>
      <c r="AO17" s="10">
        <f t="shared" si="6"/>
        <v>0</v>
      </c>
    </row>
    <row r="18" spans="1:41" x14ac:dyDescent="0.25">
      <c r="B18" s="3" t="s">
        <v>1</v>
      </c>
      <c r="C18" s="9">
        <f>AeroPstatic_inHg_fHp(hp)</f>
        <v>5.5380238023551103</v>
      </c>
      <c r="D18" s="8">
        <v>5.5380238023551103</v>
      </c>
      <c r="E18" s="10">
        <f t="shared" si="0"/>
        <v>0</v>
      </c>
      <c r="H18" s="3" t="s">
        <v>49</v>
      </c>
      <c r="I18" s="9">
        <f>AeroISAdev_Celsius_fOATCelsiusHp(oatC,hp)</f>
        <v>19.999999999999972</v>
      </c>
      <c r="J18">
        <v>19.999999999999972</v>
      </c>
      <c r="K18" s="10">
        <f t="shared" si="1"/>
        <v>0</v>
      </c>
      <c r="N18" s="3" t="s">
        <v>49</v>
      </c>
      <c r="O18" s="9">
        <f>AeroISAdev_Celsius_fOATKelvinHp(oatK,hp)</f>
        <v>19.999999999999972</v>
      </c>
      <c r="P18">
        <v>19.999999999999972</v>
      </c>
      <c r="Q18" s="10">
        <f t="shared" si="2"/>
        <v>0</v>
      </c>
      <c r="T18" s="3" t="s">
        <v>49</v>
      </c>
      <c r="U18" s="9">
        <f>AeroISAdev_Celsius_fOATFahrenheitHp(oatF,hp)</f>
        <v>19.999999999999972</v>
      </c>
      <c r="V18" s="8">
        <v>19.999999999999972</v>
      </c>
      <c r="W18" s="10">
        <f t="shared" si="3"/>
        <v>0</v>
      </c>
      <c r="Z18" s="3" t="s">
        <v>49</v>
      </c>
      <c r="AA18" s="9">
        <f>AeroISAdev_Celsius_fOATRankineHp(oatR,hp)</f>
        <v>19.999999999999972</v>
      </c>
      <c r="AB18" s="8">
        <v>19.999999999999972</v>
      </c>
      <c r="AC18" s="10">
        <f t="shared" si="4"/>
        <v>0</v>
      </c>
      <c r="AF18" s="3" t="s">
        <v>11</v>
      </c>
      <c r="AG18" s="9">
        <f>AeroSigma_fISAdevCelsiusHp(isaDevC,hp)</f>
        <v>0.22536536117697845</v>
      </c>
      <c r="AH18" s="8">
        <v>0.22536536117697845</v>
      </c>
      <c r="AI18" s="10">
        <f t="shared" si="5"/>
        <v>0</v>
      </c>
      <c r="AL18" s="3" t="s">
        <v>11</v>
      </c>
      <c r="AM18" s="9">
        <f>AeroSigma_fISAdevFahrenheitHp(isaDevF,hp)</f>
        <v>0.22536536117697845</v>
      </c>
      <c r="AN18" s="8">
        <v>0.22536536117697845</v>
      </c>
      <c r="AO18" s="10">
        <f t="shared" si="6"/>
        <v>0</v>
      </c>
    </row>
    <row r="19" spans="1:41" x14ac:dyDescent="0.25">
      <c r="B19" s="3" t="s">
        <v>3</v>
      </c>
      <c r="C19" s="9">
        <f>AeroPstatic_hPa_fHp(hp)</f>
        <v>187.53902886033518</v>
      </c>
      <c r="D19" s="8">
        <v>187.53902886033518</v>
      </c>
      <c r="E19" s="10">
        <f t="shared" si="0"/>
        <v>0</v>
      </c>
      <c r="H19" s="3" t="s">
        <v>52</v>
      </c>
      <c r="I19" s="9">
        <f>AeroISAdev_Fahrenheit_fOATCelsiusHp(oatC,hp)</f>
        <v>35.999999999999943</v>
      </c>
      <c r="J19">
        <v>35.999999999999943</v>
      </c>
      <c r="K19" s="10">
        <f t="shared" si="1"/>
        <v>0</v>
      </c>
      <c r="N19" s="3" t="s">
        <v>52</v>
      </c>
      <c r="O19" s="9">
        <f>AeroISAdev_Fahrenheit_fOATKelvinHp(oatK,hp)</f>
        <v>35.999999999999943</v>
      </c>
      <c r="P19">
        <v>35.999999999999943</v>
      </c>
      <c r="Q19" s="10">
        <f t="shared" si="2"/>
        <v>0</v>
      </c>
      <c r="T19" s="3" t="s">
        <v>52</v>
      </c>
      <c r="U19" s="9">
        <f>AeroISAdev_Fahrenheit_fOATFahrenheitHp(oatF,hp)</f>
        <v>35.999999999999943</v>
      </c>
      <c r="V19" s="8">
        <v>35.999999999999943</v>
      </c>
      <c r="W19" s="10">
        <f t="shared" si="3"/>
        <v>0</v>
      </c>
      <c r="Z19" s="3" t="s">
        <v>52</v>
      </c>
      <c r="AA19" s="9">
        <f>AeroISAdev_Fahrenheit_fOATRankineHp(oatR,hp)</f>
        <v>35.999999999999943</v>
      </c>
      <c r="AB19" s="8">
        <v>35.999999999999943</v>
      </c>
      <c r="AC19" s="10">
        <f t="shared" si="4"/>
        <v>0</v>
      </c>
      <c r="AF19" s="3" t="s">
        <v>52</v>
      </c>
      <c r="AG19" s="9">
        <f>AeroISAdev_Fahrenheit_fISAdevCelsius(isaDevC)</f>
        <v>36</v>
      </c>
      <c r="AH19" s="8">
        <v>36</v>
      </c>
      <c r="AI19" s="10">
        <f t="shared" si="5"/>
        <v>0</v>
      </c>
      <c r="AL19" s="3" t="s">
        <v>49</v>
      </c>
      <c r="AM19" s="9">
        <f>AeroISAdev_Celsius_fISAdevFahrenheit(isaDevF)</f>
        <v>20</v>
      </c>
      <c r="AN19" s="8">
        <v>20</v>
      </c>
      <c r="AO19" s="10">
        <f t="shared" si="6"/>
        <v>0</v>
      </c>
    </row>
    <row r="20" spans="1:41" x14ac:dyDescent="0.25">
      <c r="B20" s="3" t="s">
        <v>4</v>
      </c>
      <c r="C20" s="9">
        <f>AeroPstatic_lbfPerInch2_fHp(hp)</f>
        <v>2.7200236482023432</v>
      </c>
      <c r="D20" s="8">
        <v>2.7200236482023432</v>
      </c>
      <c r="E20" s="10">
        <f t="shared" si="0"/>
        <v>0</v>
      </c>
    </row>
    <row r="21" spans="1:41" x14ac:dyDescent="0.25">
      <c r="B21" s="3" t="s">
        <v>64</v>
      </c>
      <c r="C21" s="9">
        <f>AeroRhoStdDay_SlugPerft3_fHp(hp)</f>
        <v>5.8511940871254725E-4</v>
      </c>
      <c r="D21" s="8">
        <v>5.8511940871254725E-4</v>
      </c>
      <c r="E21" s="10">
        <f t="shared" si="0"/>
        <v>0</v>
      </c>
    </row>
    <row r="22" spans="1:41" x14ac:dyDescent="0.25">
      <c r="B22" s="3" t="s">
        <v>134</v>
      </c>
      <c r="C22" s="9">
        <f>AeroConvSlugPerFt3ToKgPerMeter3(D21)</f>
        <v>0.30155814948119813</v>
      </c>
      <c r="D22" s="8">
        <v>0.30155814948119813</v>
      </c>
      <c r="E22" s="10">
        <f t="shared" si="0"/>
        <v>0</v>
      </c>
    </row>
    <row r="23" spans="1:41" x14ac:dyDescent="0.25">
      <c r="B23" s="3" t="s">
        <v>9</v>
      </c>
      <c r="C23" s="9">
        <f>AeroThetaStdDay_fHp(hp)</f>
        <v>0.75186534790907522</v>
      </c>
      <c r="D23" s="8">
        <v>0.751865347909075</v>
      </c>
      <c r="E23" s="10">
        <f t="shared" si="0"/>
        <v>2.9532496150079752E-14</v>
      </c>
    </row>
    <row r="24" spans="1:41" x14ac:dyDescent="0.25">
      <c r="B24" s="3" t="s">
        <v>10</v>
      </c>
      <c r="C24" s="9">
        <f>AeroSigmaStdDay_fHp(hp)</f>
        <v>0.24616991794383544</v>
      </c>
      <c r="D24" s="8">
        <v>0.24616991794383544</v>
      </c>
      <c r="E24" s="10">
        <f t="shared" si="0"/>
        <v>0</v>
      </c>
    </row>
    <row r="25" spans="1:41" x14ac:dyDescent="0.25">
      <c r="B25" s="3" t="s">
        <v>40</v>
      </c>
      <c r="C25" s="9">
        <f>AeroTapeAlt_ft_fGeoptlAlt(hp)</f>
        <v>40076.865680816394</v>
      </c>
      <c r="D25" s="8">
        <v>40076.865680816394</v>
      </c>
      <c r="E25" s="10">
        <f t="shared" si="0"/>
        <v>0</v>
      </c>
    </row>
    <row r="26" spans="1:41" x14ac:dyDescent="0.25">
      <c r="B26" s="3" t="s">
        <v>41</v>
      </c>
      <c r="C26" s="9">
        <f>AeroGeoptlAlt_ft_fTapeAlt(C25)</f>
        <v>40000</v>
      </c>
      <c r="D26" s="8">
        <v>40000</v>
      </c>
      <c r="E26" s="10">
        <f t="shared" si="0"/>
        <v>0</v>
      </c>
    </row>
    <row r="27" spans="1:41" x14ac:dyDescent="0.25">
      <c r="B27" s="3" t="s">
        <v>42</v>
      </c>
      <c r="C27" s="9">
        <f>AeroTapeAlt_meter_fGeoptlAlt(hp*0.3048)</f>
        <v>12215.428659512838</v>
      </c>
      <c r="D27" s="8">
        <v>12215.428659512838</v>
      </c>
      <c r="E27" s="10">
        <f t="shared" si="0"/>
        <v>0</v>
      </c>
    </row>
    <row r="28" spans="1:41" x14ac:dyDescent="0.25">
      <c r="B28" s="3" t="s">
        <v>43</v>
      </c>
      <c r="C28" s="9">
        <f>AeroGeoptlAlt_meter_fTapeAlt(C27)</f>
        <v>12192</v>
      </c>
      <c r="D28" s="8">
        <v>12192</v>
      </c>
      <c r="E28" s="10">
        <f t="shared" si="0"/>
        <v>0</v>
      </c>
    </row>
    <row r="29" spans="1:41" x14ac:dyDescent="0.25">
      <c r="A29" s="8" t="s">
        <v>105</v>
      </c>
      <c r="C29" s="9"/>
      <c r="E29" s="10"/>
    </row>
    <row r="30" spans="1:41" x14ac:dyDescent="0.25">
      <c r="A30" s="6">
        <v>25000</v>
      </c>
      <c r="B30" s="3" t="s">
        <v>0</v>
      </c>
      <c r="C30" s="9">
        <f>AeroDelta_fHp(A30)</f>
        <v>0.3710919348490046</v>
      </c>
      <c r="D30" s="8">
        <v>0.3710919348490046</v>
      </c>
      <c r="E30" s="10">
        <f t="shared" ref="E30:E31" si="7">(C30-D30)/D30*100</f>
        <v>0</v>
      </c>
    </row>
    <row r="31" spans="1:41" x14ac:dyDescent="0.25">
      <c r="B31" s="3" t="s">
        <v>13</v>
      </c>
      <c r="C31" s="9">
        <f>AeroOatStdDay_Kelvin_fHp(A30)</f>
        <v>238.61999999999998</v>
      </c>
      <c r="D31" s="8">
        <v>238.61999999999998</v>
      </c>
      <c r="E31" s="10">
        <f t="shared" si="7"/>
        <v>0</v>
      </c>
    </row>
    <row r="32" spans="1:41" x14ac:dyDescent="0.25">
      <c r="A32" s="8" t="s">
        <v>107</v>
      </c>
      <c r="C32" s="9"/>
      <c r="E32" s="10"/>
    </row>
    <row r="33" spans="1:11" x14ac:dyDescent="0.25">
      <c r="A33" s="6">
        <v>80000</v>
      </c>
      <c r="B33" s="3" t="s">
        <v>0</v>
      </c>
      <c r="C33" s="9">
        <f>AeroDelta_fHp(A33)</f>
        <v>2.7253637224425878E-2</v>
      </c>
      <c r="D33" s="8">
        <v>2.7253637224425878E-2</v>
      </c>
      <c r="E33" s="10">
        <f t="shared" ref="E33:E34" si="8">(C33-D33)/D33*100</f>
        <v>0</v>
      </c>
    </row>
    <row r="34" spans="1:11" x14ac:dyDescent="0.25">
      <c r="B34" s="3" t="s">
        <v>13</v>
      </c>
      <c r="C34" s="9">
        <f>AeroOatStdDay_Kelvin_fHp(A33)</f>
        <v>221.03399999999999</v>
      </c>
      <c r="D34" s="8">
        <v>221.03399999999999</v>
      </c>
      <c r="E34" s="10">
        <f t="shared" si="8"/>
        <v>0</v>
      </c>
    </row>
    <row r="35" spans="1:11" x14ac:dyDescent="0.25">
      <c r="A35" s="8" t="s">
        <v>108</v>
      </c>
      <c r="C35" s="9"/>
      <c r="E35" s="10"/>
    </row>
    <row r="36" spans="1:11" x14ac:dyDescent="0.25">
      <c r="A36" s="6">
        <v>125000</v>
      </c>
      <c r="B36" s="3" t="s">
        <v>0</v>
      </c>
      <c r="C36" s="9">
        <f>AeroDelta_fHp(A36)</f>
        <v>3.5569187575812426E-3</v>
      </c>
      <c r="D36" s="8">
        <v>3.5569187575812426E-3</v>
      </c>
      <c r="E36" s="10">
        <f t="shared" ref="E36:E37" si="9">(C36-D36)/D36*100</f>
        <v>0</v>
      </c>
    </row>
    <row r="37" spans="1:11" x14ac:dyDescent="0.25">
      <c r="B37" s="3" t="s">
        <v>13</v>
      </c>
      <c r="C37" s="9">
        <f>AeroOatStdDay_Kelvin_fHp(A36)</f>
        <v>245.72999999999996</v>
      </c>
      <c r="D37" s="8">
        <v>245.72999999999996</v>
      </c>
      <c r="E37" s="10">
        <f t="shared" si="9"/>
        <v>0</v>
      </c>
    </row>
    <row r="38" spans="1:11" x14ac:dyDescent="0.25">
      <c r="A38" s="8" t="s">
        <v>109</v>
      </c>
      <c r="C38" s="9"/>
      <c r="E38" s="10"/>
    </row>
    <row r="39" spans="1:11" x14ac:dyDescent="0.25">
      <c r="A39" s="6">
        <v>160000</v>
      </c>
      <c r="B39" s="3" t="s">
        <v>0</v>
      </c>
      <c r="C39" s="9">
        <f>AeroDelta_fHp(A39)</f>
        <v>8.7562200662368234E-4</v>
      </c>
      <c r="D39" s="8">
        <v>8.7562200662368234E-4</v>
      </c>
      <c r="E39" s="10">
        <f t="shared" ref="E39:E40" si="10">(C39-D39)/D39*100</f>
        <v>0</v>
      </c>
    </row>
    <row r="40" spans="1:11" x14ac:dyDescent="0.25">
      <c r="B40" s="3" t="s">
        <v>13</v>
      </c>
      <c r="C40" s="9">
        <f>AeroOatStdDay_Kelvin_fHp(A39)</f>
        <v>270.64999999999998</v>
      </c>
      <c r="D40" s="8">
        <v>270.64999999999998</v>
      </c>
      <c r="E40" s="10">
        <f t="shared" si="10"/>
        <v>0</v>
      </c>
    </row>
    <row r="41" spans="1:11" x14ac:dyDescent="0.25">
      <c r="A41" s="7" t="s">
        <v>170</v>
      </c>
      <c r="C41" s="9"/>
      <c r="E41" s="10"/>
    </row>
    <row r="42" spans="1:11" x14ac:dyDescent="0.25">
      <c r="A42" s="6">
        <v>167322.9</v>
      </c>
      <c r="B42" s="3" t="s">
        <v>0</v>
      </c>
      <c r="C42" s="9">
        <f>AeroDelta_fHp(A42)</f>
        <v>-99999999.999999896</v>
      </c>
      <c r="D42" s="8">
        <v>-99999999.999999896</v>
      </c>
      <c r="E42" s="10">
        <f t="shared" ref="E42:E43" si="11">(C42-D42)/D42*100</f>
        <v>0</v>
      </c>
    </row>
    <row r="43" spans="1:11" x14ac:dyDescent="0.25">
      <c r="B43" s="3" t="s">
        <v>13</v>
      </c>
      <c r="C43" s="9">
        <f>AeroOatStdDay_Kelvin_fHp(A42)</f>
        <v>-99999999.999999896</v>
      </c>
      <c r="D43" s="8">
        <v>-99999999.999999896</v>
      </c>
      <c r="E43" s="10">
        <f t="shared" si="11"/>
        <v>0</v>
      </c>
    </row>
    <row r="44" spans="1:11" x14ac:dyDescent="0.25">
      <c r="C44" s="3"/>
      <c r="D44" s="3"/>
      <c r="E44" s="3"/>
      <c r="F44" s="3"/>
    </row>
    <row r="45" spans="1:11" x14ac:dyDescent="0.25">
      <c r="A45" s="5" t="s">
        <v>160</v>
      </c>
      <c r="E45" s="11"/>
    </row>
    <row r="46" spans="1:11" x14ac:dyDescent="0.25">
      <c r="A46" s="3" t="s">
        <v>32</v>
      </c>
      <c r="E46" s="11"/>
      <c r="G46" s="3" t="s">
        <v>61</v>
      </c>
      <c r="H46" s="4" t="s">
        <v>59</v>
      </c>
    </row>
    <row r="47" spans="1:11" x14ac:dyDescent="0.25">
      <c r="A47" s="6">
        <v>242.21789999999999</v>
      </c>
      <c r="B47" s="3" t="s">
        <v>33</v>
      </c>
      <c r="C47" s="9">
        <f>AeroMach_fHpKCAS(hp,KCAS)</f>
        <v>0.799999813026392</v>
      </c>
      <c r="D47" s="8">
        <v>0.799999813026392</v>
      </c>
      <c r="E47" s="10">
        <f t="shared" ref="E47:E52" si="12">(C47-D47)/D47*100</f>
        <v>0</v>
      </c>
      <c r="H47" s="3" t="s">
        <v>16</v>
      </c>
      <c r="I47" s="9">
        <f>AeroKTAS_fHpKCASOATCelsius(hp,KCAS, oatC)</f>
        <v>479.56736670483099</v>
      </c>
      <c r="J47">
        <v>479.56736670483099</v>
      </c>
      <c r="K47" s="10">
        <f t="shared" ref="K47:K52" si="13">(I47-J47)/J47*100</f>
        <v>0</v>
      </c>
    </row>
    <row r="48" spans="1:11" x14ac:dyDescent="0.25">
      <c r="B48" s="3" t="s">
        <v>34</v>
      </c>
      <c r="C48" s="9">
        <f>AeroKEAS_fHpKCAS(hp,KCAS)</f>
        <v>227.66339376521174</v>
      </c>
      <c r="D48" s="8">
        <v>227.66339376521174</v>
      </c>
      <c r="E48" s="10">
        <f t="shared" si="12"/>
        <v>0</v>
      </c>
      <c r="H48" s="3" t="s">
        <v>45</v>
      </c>
      <c r="I48" s="9">
        <f>AeroKTAS_fHpKCASOATKelvin(hp,KCAS, oatK)</f>
        <v>479.56736670483099</v>
      </c>
      <c r="J48">
        <v>479.56736670483099</v>
      </c>
      <c r="K48" s="10">
        <f t="shared" si="13"/>
        <v>0</v>
      </c>
    </row>
    <row r="49" spans="1:41" x14ac:dyDescent="0.25">
      <c r="B49" s="3" t="s">
        <v>35</v>
      </c>
      <c r="C49" s="9">
        <f>AeroKTASStdDay_fHpKCAS(hp,KCAS)</f>
        <v>458.85526063357293</v>
      </c>
      <c r="D49" s="8">
        <v>458.85526063357293</v>
      </c>
      <c r="E49" s="10">
        <f t="shared" si="12"/>
        <v>0</v>
      </c>
      <c r="H49" s="3" t="s">
        <v>18</v>
      </c>
      <c r="I49" s="9">
        <f>AeroKTAS_fHpKCASOATFahrenheit(hp,KCAS, oatF)</f>
        <v>479.56736670483099</v>
      </c>
      <c r="J49">
        <v>479.56736670483099</v>
      </c>
      <c r="K49" s="10">
        <f t="shared" si="13"/>
        <v>0</v>
      </c>
    </row>
    <row r="50" spans="1:41" x14ac:dyDescent="0.25">
      <c r="B50" s="3" t="s">
        <v>38</v>
      </c>
      <c r="C50" s="9">
        <f>AeroQ_lbfPerFt2_fHpKCAS(hp,KCAS)</f>
        <v>175.47408357024452</v>
      </c>
      <c r="D50" s="8">
        <v>175.47408357024452</v>
      </c>
      <c r="E50" s="10">
        <f t="shared" si="12"/>
        <v>0</v>
      </c>
      <c r="H50" s="3" t="s">
        <v>48</v>
      </c>
      <c r="I50" s="9">
        <f>AeroKTAS_fHpKCASOATRankine(hp,KCAS, oatR)</f>
        <v>479.56736670483099</v>
      </c>
      <c r="J50">
        <v>479.56736670483099</v>
      </c>
      <c r="K50" s="10">
        <f t="shared" si="13"/>
        <v>0</v>
      </c>
    </row>
    <row r="51" spans="1:41" x14ac:dyDescent="0.25">
      <c r="B51" s="3" t="s">
        <v>39</v>
      </c>
      <c r="C51" s="9">
        <f>AeroQc_lbfPerFt2_fKCAS(KCAS)</f>
        <v>205.37516965807154</v>
      </c>
      <c r="D51" s="8">
        <v>205.37516965807154</v>
      </c>
      <c r="E51" s="10">
        <f t="shared" si="12"/>
        <v>0</v>
      </c>
      <c r="H51" s="3" t="s">
        <v>49</v>
      </c>
      <c r="I51" s="9">
        <f>AeroKTAS_fHpKCASOATCelsius(hp,KCAS,oatC)</f>
        <v>479.56736670483099</v>
      </c>
      <c r="J51">
        <v>479.56736670483099</v>
      </c>
      <c r="K51" s="10">
        <f t="shared" si="13"/>
        <v>0</v>
      </c>
    </row>
    <row r="52" spans="1:41" x14ac:dyDescent="0.25">
      <c r="B52" s="3" t="s">
        <v>44</v>
      </c>
      <c r="C52" s="9">
        <f>AeroCompCorrnKCASminusKEAS_fHpKCAS(hp, KCAS)</f>
        <v>14.554506234788249</v>
      </c>
      <c r="D52" s="8">
        <v>14.554506234788249</v>
      </c>
      <c r="E52" s="10">
        <f t="shared" si="12"/>
        <v>0</v>
      </c>
      <c r="H52" s="3" t="s">
        <v>52</v>
      </c>
      <c r="I52" s="9">
        <f>AeroKTAS_fHpKCASOATFahrenheit(hp,KCAS,oatF)</f>
        <v>479.56736670483099</v>
      </c>
      <c r="J52">
        <v>479.56736670483099</v>
      </c>
      <c r="K52" s="10">
        <f t="shared" si="13"/>
        <v>0</v>
      </c>
    </row>
    <row r="53" spans="1:41" x14ac:dyDescent="0.25">
      <c r="E53" s="11"/>
    </row>
    <row r="54" spans="1:41" x14ac:dyDescent="0.25">
      <c r="A54" s="3" t="s">
        <v>34</v>
      </c>
      <c r="E54" s="11"/>
      <c r="G54" s="3" t="s">
        <v>60</v>
      </c>
      <c r="H54" s="4" t="s">
        <v>59</v>
      </c>
    </row>
    <row r="55" spans="1:41" x14ac:dyDescent="0.25">
      <c r="A55" s="6">
        <v>227.65700000000001</v>
      </c>
      <c r="B55" s="3" t="s">
        <v>33</v>
      </c>
      <c r="C55" s="9">
        <f>AeroMach_fHpKEAS(hp,KEAS)</f>
        <v>0.79997733968013274</v>
      </c>
      <c r="D55" s="8">
        <v>0.79997733968013274</v>
      </c>
      <c r="E55" s="10">
        <f t="shared" ref="E55:E60" si="14">(C55-D55)/D55*100</f>
        <v>0</v>
      </c>
      <c r="H55" s="3" t="s">
        <v>16</v>
      </c>
      <c r="I55" s="9">
        <f>AeroKTAS_fHpKEASOATCelsius(hp,KEAS, oatC)</f>
        <v>479.5538948473241</v>
      </c>
      <c r="J55">
        <v>479.5538948473241</v>
      </c>
      <c r="K55" s="10">
        <f t="shared" ref="K55:K60" si="15">(I55-J55)/J55*100</f>
        <v>0</v>
      </c>
    </row>
    <row r="56" spans="1:41" x14ac:dyDescent="0.25">
      <c r="B56" s="3" t="s">
        <v>32</v>
      </c>
      <c r="C56" s="9">
        <f>AeroKCAS_fHpKEAS(hp,KEAS)</f>
        <v>242.21029880590126</v>
      </c>
      <c r="D56" s="8">
        <v>242.21029880590126</v>
      </c>
      <c r="E56" s="10">
        <f t="shared" si="14"/>
        <v>0</v>
      </c>
      <c r="H56" s="3" t="s">
        <v>45</v>
      </c>
      <c r="I56" s="9">
        <f>AeroKTAS_fHpKEASOATKelvin(hp,KEAS, oatK)</f>
        <v>479.5538948473241</v>
      </c>
      <c r="J56">
        <v>479.5538948473241</v>
      </c>
      <c r="K56" s="10">
        <f t="shared" si="15"/>
        <v>0</v>
      </c>
    </row>
    <row r="57" spans="1:41" x14ac:dyDescent="0.25">
      <c r="B57" s="3" t="s">
        <v>35</v>
      </c>
      <c r="C57" s="9">
        <f>AeroKTASStdDay_fHpKEAS(hp,KEAS)</f>
        <v>458.84237400848076</v>
      </c>
      <c r="D57" s="8">
        <v>458.84237400848076</v>
      </c>
      <c r="E57" s="10">
        <f t="shared" si="14"/>
        <v>0</v>
      </c>
      <c r="H57" s="3" t="s">
        <v>18</v>
      </c>
      <c r="I57" s="9">
        <f>AeroKTAS_fHpKEASOATFahrenheit(hp,KEAS, oatF)</f>
        <v>479.5538948473241</v>
      </c>
      <c r="J57">
        <v>479.5538948473241</v>
      </c>
      <c r="K57" s="10">
        <f t="shared" si="15"/>
        <v>0</v>
      </c>
    </row>
    <row r="58" spans="1:41" x14ac:dyDescent="0.25">
      <c r="B58" s="3" t="s">
        <v>38</v>
      </c>
      <c r="C58" s="9">
        <f>AeroQ_lbfPerFt2_fKEAS(KEAS)</f>
        <v>175.46422498181551</v>
      </c>
      <c r="D58" s="8">
        <v>175.46422498181551</v>
      </c>
      <c r="E58" s="10">
        <f t="shared" si="14"/>
        <v>0</v>
      </c>
      <c r="H58" s="3" t="s">
        <v>48</v>
      </c>
      <c r="I58" s="9">
        <f>AeroKTAS_fHpKEASOATRankine(hp,KEAS, oatR)</f>
        <v>479.5538948473241</v>
      </c>
      <c r="J58">
        <v>479.5538948473241</v>
      </c>
      <c r="K58" s="10">
        <f t="shared" si="15"/>
        <v>0</v>
      </c>
    </row>
    <row r="59" spans="1:41" x14ac:dyDescent="0.25">
      <c r="B59" s="3" t="s">
        <v>39</v>
      </c>
      <c r="C59" s="9">
        <f>AeroQc_lbfPerFt2_fHpKEAS(hp, KEAS)</f>
        <v>205.36184721212422</v>
      </c>
      <c r="D59" s="8">
        <v>205.36184721212422</v>
      </c>
      <c r="E59" s="10">
        <f t="shared" si="14"/>
        <v>0</v>
      </c>
      <c r="H59" s="3" t="s">
        <v>49</v>
      </c>
      <c r="I59" s="9">
        <f>AeroKTAS_fHpKEASOATCelsius(hp,KEAS,oatC)</f>
        <v>479.5538948473241</v>
      </c>
      <c r="J59">
        <v>479.5538948473241</v>
      </c>
      <c r="K59" s="10">
        <f t="shared" si="15"/>
        <v>0</v>
      </c>
    </row>
    <row r="60" spans="1:41" x14ac:dyDescent="0.25">
      <c r="B60" s="3" t="s">
        <v>44</v>
      </c>
      <c r="C60" s="9">
        <f>AeroCompCorrnKCASminusKEAS_fHpKEAS(hp, KEAS)</f>
        <v>14.55329880590125</v>
      </c>
      <c r="D60" s="8">
        <v>14.55329880590125</v>
      </c>
      <c r="E60" s="10">
        <f t="shared" si="14"/>
        <v>0</v>
      </c>
      <c r="H60" s="3" t="s">
        <v>52</v>
      </c>
      <c r="I60" s="9">
        <f>AeroKTAS_fHpKEASOATFahrenheit(hp,KEAS,oatF)</f>
        <v>479.5538948473241</v>
      </c>
      <c r="J60">
        <v>479.5538948473241</v>
      </c>
      <c r="K60" s="10">
        <f t="shared" si="15"/>
        <v>0</v>
      </c>
    </row>
    <row r="61" spans="1:41" x14ac:dyDescent="0.25">
      <c r="E61" s="11"/>
    </row>
    <row r="62" spans="1:41" x14ac:dyDescent="0.25">
      <c r="A62" s="3" t="s">
        <v>36</v>
      </c>
      <c r="E62" s="11"/>
      <c r="H62" s="4" t="s">
        <v>59</v>
      </c>
      <c r="I62" s="5" t="s">
        <v>16</v>
      </c>
      <c r="J62" t="s">
        <v>16</v>
      </c>
      <c r="M62" s="4"/>
      <c r="N62" s="4" t="s">
        <v>59</v>
      </c>
      <c r="O62" s="5" t="s">
        <v>45</v>
      </c>
      <c r="P62" s="5" t="s">
        <v>45</v>
      </c>
      <c r="Q62" s="5"/>
      <c r="T62" s="4" t="s">
        <v>59</v>
      </c>
      <c r="U62" s="5" t="s">
        <v>18</v>
      </c>
      <c r="V62" s="5" t="s">
        <v>18</v>
      </c>
      <c r="W62" s="5"/>
      <c r="Z62" s="4" t="s">
        <v>59</v>
      </c>
      <c r="AA62" s="5" t="s">
        <v>48</v>
      </c>
      <c r="AB62" s="5" t="s">
        <v>48</v>
      </c>
      <c r="AC62" s="5"/>
      <c r="AF62" s="4" t="s">
        <v>59</v>
      </c>
      <c r="AG62" s="5" t="s">
        <v>49</v>
      </c>
      <c r="AH62" s="5" t="s">
        <v>49</v>
      </c>
      <c r="AI62" s="5"/>
      <c r="AL62" s="4" t="s">
        <v>59</v>
      </c>
      <c r="AM62" s="5" t="s">
        <v>52</v>
      </c>
      <c r="AN62" s="5" t="s">
        <v>52</v>
      </c>
      <c r="AO62" s="5"/>
    </row>
    <row r="63" spans="1:41" x14ac:dyDescent="0.25">
      <c r="A63" s="6">
        <v>458.85500000000002</v>
      </c>
      <c r="B63" s="3" t="s">
        <v>33</v>
      </c>
      <c r="C63" s="9">
        <f>AeroMachStdDay_fHpKTAS(hp,KTAS)</f>
        <v>0.79999935861989935</v>
      </c>
      <c r="D63" s="8">
        <v>0.79999935861989935</v>
      </c>
      <c r="E63" s="10">
        <f t="shared" ref="E63:E67" si="16">(C63-D63)/D63*100</f>
        <v>0</v>
      </c>
      <c r="H63" s="3" t="s">
        <v>55</v>
      </c>
      <c r="I63" s="9">
        <f>AeroMach_fKtasOatCelsius(I55, oatC)</f>
        <v>0.79997733968013274</v>
      </c>
      <c r="J63">
        <v>0.79997733968013274</v>
      </c>
      <c r="K63" s="10">
        <f t="shared" ref="K63:K67" si="17">(I63-J63)/J63*100</f>
        <v>0</v>
      </c>
      <c r="M63" s="3"/>
      <c r="N63" s="3" t="s">
        <v>55</v>
      </c>
      <c r="O63" s="9">
        <f>AeroMach_fKTASOATKelvin(I55, oatK)</f>
        <v>0.79997733968013274</v>
      </c>
      <c r="P63" s="8">
        <v>0.79997733968013263</v>
      </c>
      <c r="Q63" s="10">
        <f t="shared" ref="Q63:Q67" si="18">(O63-P63)/P63*100</f>
        <v>1.3878180912837786E-14</v>
      </c>
      <c r="T63" s="3" t="s">
        <v>55</v>
      </c>
      <c r="U63" s="9">
        <f>AeroMach_fKTASOATFahrenheit(I55, oatF)</f>
        <v>0.79997733968013274</v>
      </c>
      <c r="V63" s="8">
        <v>0.79997733968013263</v>
      </c>
      <c r="W63" s="10">
        <f t="shared" ref="W63:W67" si="19">(U63-V63)/V63*100</f>
        <v>1.3878180912837786E-14</v>
      </c>
      <c r="Z63" s="3" t="s">
        <v>55</v>
      </c>
      <c r="AA63" s="9">
        <f>AeroMach_fKTASOATRankine(I55, oatR)</f>
        <v>0.79997733968013274</v>
      </c>
      <c r="AB63" s="8">
        <v>0.79997733968013263</v>
      </c>
      <c r="AC63" s="10">
        <f t="shared" ref="AC63:AC67" si="20">(AA63-AB63)/AB63*100</f>
        <v>1.3878180912837786E-14</v>
      </c>
      <c r="AF63" s="3" t="s">
        <v>55</v>
      </c>
      <c r="AG63" s="9">
        <f>AeroMach_fHpKtasIsaDevCelsius(hp, I55, isaDevC)</f>
        <v>0.79997733968013274</v>
      </c>
      <c r="AH63" s="8">
        <v>0.79997733968013263</v>
      </c>
      <c r="AI63" s="10">
        <f t="shared" ref="AI63:AI67" si="21">(AG63-AH63)/AH63*100</f>
        <v>1.3878180912837786E-14</v>
      </c>
      <c r="AL63" s="3" t="s">
        <v>55</v>
      </c>
      <c r="AM63" s="9">
        <f>AeroMach_fHpKTASISAdevFahrenheit(hp, I55, isaDevF)</f>
        <v>0.79997733968013274</v>
      </c>
      <c r="AN63" s="8">
        <v>0.79997733968013263</v>
      </c>
      <c r="AO63" s="10">
        <f t="shared" ref="AO63:AO67" si="22">(AM63-AN63)/AN63*100</f>
        <v>1.3878180912837786E-14</v>
      </c>
    </row>
    <row r="64" spans="1:41" x14ac:dyDescent="0.25">
      <c r="B64" s="3" t="s">
        <v>34</v>
      </c>
      <c r="C64" s="9">
        <f>AeroKEASStdDay_fHpKTAS(hp,KTAS)</f>
        <v>227.66326445052619</v>
      </c>
      <c r="D64" s="8">
        <v>227.66326445052619</v>
      </c>
      <c r="E64" s="10">
        <f t="shared" si="16"/>
        <v>0</v>
      </c>
      <c r="H64" s="3" t="s">
        <v>54</v>
      </c>
      <c r="I64" s="9">
        <f>AeroKEAS_fHpKTASOATCelsius(hp,I55, oatC)</f>
        <v>227.65699831586869</v>
      </c>
      <c r="J64">
        <v>227.65699831586869</v>
      </c>
      <c r="K64" s="10">
        <f t="shared" si="17"/>
        <v>0</v>
      </c>
      <c r="M64" s="3"/>
      <c r="N64" s="3" t="s">
        <v>54</v>
      </c>
      <c r="O64" s="9">
        <f>AeroKEAS_fHpKTASOATKelvin(hp,I55, oatK)</f>
        <v>227.65699831586869</v>
      </c>
      <c r="P64" s="8">
        <v>227.65699831586866</v>
      </c>
      <c r="Q64" s="10">
        <f t="shared" si="18"/>
        <v>1.2484443544744256E-14</v>
      </c>
      <c r="T64" s="3" t="s">
        <v>54</v>
      </c>
      <c r="U64" s="9">
        <f>AeroKEAS_fHpKTASOATFahrenheit(hp,I55, oatF)</f>
        <v>227.65699831586869</v>
      </c>
      <c r="V64" s="8">
        <v>227.65699831586866</v>
      </c>
      <c r="W64" s="10">
        <f t="shared" si="19"/>
        <v>1.2484443544744256E-14</v>
      </c>
      <c r="Z64" s="3" t="s">
        <v>54</v>
      </c>
      <c r="AA64" s="9">
        <f>AeroKEAS_fHpKTASOATRankine(hp,I55, oatR)</f>
        <v>227.65699831586869</v>
      </c>
      <c r="AB64" s="8">
        <v>227.65699831586866</v>
      </c>
      <c r="AC64" s="10">
        <f t="shared" si="20"/>
        <v>1.2484443544744256E-14</v>
      </c>
      <c r="AF64" s="3" t="s">
        <v>54</v>
      </c>
      <c r="AG64" s="9">
        <f>AeroKEAS_fHpKTASISAdevCelsius(hp, I55, isaDevC)</f>
        <v>227.65699831586869</v>
      </c>
      <c r="AH64" s="8">
        <v>227.65699831586866</v>
      </c>
      <c r="AI64" s="10">
        <f t="shared" si="21"/>
        <v>1.2484443544744256E-14</v>
      </c>
      <c r="AL64" s="3" t="s">
        <v>54</v>
      </c>
      <c r="AM64" s="9">
        <f>AeroKEAS_fHpKTASISAdevFahrenheit(hp, I55, isaDevF)</f>
        <v>227.65699831586869</v>
      </c>
      <c r="AN64" s="8">
        <v>227.65699831586866</v>
      </c>
      <c r="AO64" s="10">
        <f t="shared" si="22"/>
        <v>1.2484443544744256E-14</v>
      </c>
    </row>
    <row r="65" spans="1:41" x14ac:dyDescent="0.25">
      <c r="B65" s="3" t="s">
        <v>32</v>
      </c>
      <c r="C65" s="9">
        <f>AeroKCASStdDay_fHpKTAS(hp,KTAS)</f>
        <v>242.21774626427401</v>
      </c>
      <c r="D65" s="8">
        <v>242.21774626427401</v>
      </c>
      <c r="E65" s="10">
        <f t="shared" si="16"/>
        <v>0</v>
      </c>
      <c r="H65" s="3" t="s">
        <v>56</v>
      </c>
      <c r="I65" s="9">
        <f>AeroKcas_fHpKtasOatCelsius(hp,I55, oatC)</f>
        <v>242.21029680373937</v>
      </c>
      <c r="J65">
        <v>242.21029680373937</v>
      </c>
      <c r="K65" s="10">
        <f t="shared" si="17"/>
        <v>0</v>
      </c>
      <c r="M65" s="3"/>
      <c r="N65" s="3" t="s">
        <v>56</v>
      </c>
      <c r="O65" s="9">
        <f>AeroKCAS_fHpKTASOATKelvin(hp,I55, oatK)</f>
        <v>242.21029680373937</v>
      </c>
      <c r="P65" s="8">
        <v>242.21029680373937</v>
      </c>
      <c r="Q65" s="10">
        <f t="shared" si="18"/>
        <v>0</v>
      </c>
      <c r="T65" s="3" t="s">
        <v>56</v>
      </c>
      <c r="U65" s="9">
        <f>AeroKCAS_fHpKTASOATFahrenheit(hp,I55, oatF)</f>
        <v>242.21029680373937</v>
      </c>
      <c r="V65" s="8">
        <v>242.21029680373937</v>
      </c>
      <c r="W65" s="10">
        <f t="shared" si="19"/>
        <v>0</v>
      </c>
      <c r="Z65" s="3" t="s">
        <v>56</v>
      </c>
      <c r="AA65" s="9">
        <f>AeroKCAS_fHpKTASOATrANKINE(hp,I55, oatR)</f>
        <v>242.21029680373937</v>
      </c>
      <c r="AB65" s="8">
        <v>242.21029680373937</v>
      </c>
      <c r="AC65" s="10">
        <f t="shared" si="20"/>
        <v>0</v>
      </c>
      <c r="AF65" s="3" t="s">
        <v>56</v>
      </c>
      <c r="AG65" s="9">
        <f>AeroKCAS_fHpKTASISAdevCelsius(hp, I55, isaDevC)</f>
        <v>242.21029680373937</v>
      </c>
      <c r="AH65" s="8">
        <v>242.21029680373937</v>
      </c>
      <c r="AI65" s="10">
        <f t="shared" si="21"/>
        <v>0</v>
      </c>
      <c r="AL65" s="3" t="s">
        <v>56</v>
      </c>
      <c r="AM65" s="9">
        <f>AeroKCAS_fHpKTASISAdevFahrenheit(hp, I55, isaDevF)</f>
        <v>242.21029680373937</v>
      </c>
      <c r="AN65" s="8">
        <v>242.21029680373937</v>
      </c>
      <c r="AO65" s="10">
        <f t="shared" si="22"/>
        <v>0</v>
      </c>
    </row>
    <row r="66" spans="1:41" x14ac:dyDescent="0.25">
      <c r="B66" s="3" t="s">
        <v>38</v>
      </c>
      <c r="C66" s="9">
        <f>AeroQStdDay_lbfPerFt2_fHpKTAS(hp,KTAS)</f>
        <v>175.47388422884737</v>
      </c>
      <c r="D66" s="8">
        <v>175.47388422884737</v>
      </c>
      <c r="E66" s="10">
        <f t="shared" si="16"/>
        <v>0</v>
      </c>
      <c r="H66" s="3" t="s">
        <v>57</v>
      </c>
      <c r="I66" s="9">
        <f>AeroQ_lbfPerFt2_fHpKTASOATCelsius(hp,I55, oatC)</f>
        <v>175.46422498181553</v>
      </c>
      <c r="J66">
        <v>175.46422498181553</v>
      </c>
      <c r="K66" s="10">
        <f t="shared" si="17"/>
        <v>0</v>
      </c>
      <c r="M66" s="3"/>
      <c r="N66" s="3" t="s">
        <v>57</v>
      </c>
      <c r="O66" s="9">
        <f>AeroQ_lbfPerFt2_fHpKTASOATKelvin(hp,I55, oatK)</f>
        <v>175.46422498181553</v>
      </c>
      <c r="P66" s="8">
        <v>175.46422498181545</v>
      </c>
      <c r="Q66" s="10">
        <f t="shared" si="18"/>
        <v>4.859402439445911E-14</v>
      </c>
      <c r="T66" s="3" t="s">
        <v>57</v>
      </c>
      <c r="U66" s="9">
        <f>AeroQ_lbfPerFt2_fHpKTASOATFahrenheit(hp,I55, oatF)</f>
        <v>175.46422498181553</v>
      </c>
      <c r="V66" s="8">
        <v>175.46422498181545</v>
      </c>
      <c r="W66" s="10">
        <f t="shared" si="19"/>
        <v>4.859402439445911E-14</v>
      </c>
      <c r="Z66" s="3" t="s">
        <v>57</v>
      </c>
      <c r="AA66" s="9">
        <f>AeroQ_lbfPerFt2_fHpKTASOATRankine(hp,I55, oatR)</f>
        <v>175.46422498181553</v>
      </c>
      <c r="AB66" s="8">
        <v>175.46422498181545</v>
      </c>
      <c r="AC66" s="10">
        <f t="shared" si="20"/>
        <v>4.859402439445911E-14</v>
      </c>
      <c r="AF66" s="3" t="s">
        <v>57</v>
      </c>
      <c r="AG66" s="9">
        <f>AeroQ_lbfPerFt2_fHpKTASISAdevCelsius(hp, I55, isaDevC)</f>
        <v>175.46422498181553</v>
      </c>
      <c r="AH66" s="8">
        <v>175.46422498181545</v>
      </c>
      <c r="AI66" s="10">
        <f t="shared" si="21"/>
        <v>4.859402439445911E-14</v>
      </c>
      <c r="AL66" s="3" t="s">
        <v>57</v>
      </c>
      <c r="AM66" s="9">
        <f>AeroQ_lbfPerFt2_fHpKTASISAdevFahrenheit(hp, I55, isaDevF)</f>
        <v>175.46422498181553</v>
      </c>
      <c r="AN66" s="8">
        <v>175.46422498181545</v>
      </c>
      <c r="AO66" s="10">
        <f t="shared" si="22"/>
        <v>4.859402439445911E-14</v>
      </c>
    </row>
    <row r="67" spans="1:41" x14ac:dyDescent="0.25">
      <c r="B67" s="3" t="s">
        <v>39</v>
      </c>
      <c r="C67" s="9">
        <f>AeroQcStdDay_lbfPerFt2_fHpKTAS(hp,KTAS)</f>
        <v>205.37490027511242</v>
      </c>
      <c r="D67" s="8">
        <v>205.37490027511242</v>
      </c>
      <c r="E67" s="10">
        <f t="shared" si="16"/>
        <v>0</v>
      </c>
      <c r="H67" s="3" t="s">
        <v>58</v>
      </c>
      <c r="I67" s="9">
        <f>AeroQc_lbfPerFt2_fHpKTASOATCelsius(hp,I55, oatC)</f>
        <v>205.36184721212422</v>
      </c>
      <c r="J67">
        <v>205.36184721212422</v>
      </c>
      <c r="K67" s="10">
        <f t="shared" si="17"/>
        <v>0</v>
      </c>
      <c r="M67" s="3"/>
      <c r="N67" s="3" t="s">
        <v>58</v>
      </c>
      <c r="O67" s="9">
        <f>AeroQc_lbfPerFt2_fHpKTASOATKelvin(hp,I55, oatK)</f>
        <v>205.36184721212422</v>
      </c>
      <c r="P67" s="8">
        <v>205.36184721212422</v>
      </c>
      <c r="Q67" s="10">
        <f t="shared" si="18"/>
        <v>0</v>
      </c>
      <c r="T67" s="3" t="s">
        <v>58</v>
      </c>
      <c r="U67" s="9">
        <f>AeroQc_lbfPerFt2_fHpKTASOATFahrenheit(hp,I55, oatF)</f>
        <v>205.36184721212422</v>
      </c>
      <c r="V67" s="8">
        <v>205.36184721212422</v>
      </c>
      <c r="W67" s="10">
        <f t="shared" si="19"/>
        <v>0</v>
      </c>
      <c r="Z67" s="3" t="s">
        <v>58</v>
      </c>
      <c r="AA67" s="9">
        <f>AeroQc_lbfPerFt2_fHpKTASOATRankine(hp,I55, oatR)</f>
        <v>205.36184721212422</v>
      </c>
      <c r="AB67" s="8">
        <v>205.36184721212422</v>
      </c>
      <c r="AC67" s="10">
        <f t="shared" si="20"/>
        <v>0</v>
      </c>
      <c r="AF67" s="3" t="s">
        <v>58</v>
      </c>
      <c r="AG67" s="9">
        <f>AeroQc_lbfPerFt2_fHpKTASISAdevCelsius(hp, I55, isaDevC)</f>
        <v>205.36184721212422</v>
      </c>
      <c r="AH67" s="8">
        <v>205.36184721212422</v>
      </c>
      <c r="AI67" s="10">
        <f t="shared" si="21"/>
        <v>0</v>
      </c>
      <c r="AL67" s="3" t="s">
        <v>58</v>
      </c>
      <c r="AM67" s="9">
        <f>AeroQc_lbfPerFt2_fHpKTASISAdevFahrenheit(hp, I55, isaDevF)</f>
        <v>205.36184721212422</v>
      </c>
      <c r="AN67" s="8">
        <v>205.36184721212422</v>
      </c>
      <c r="AO67" s="10">
        <f t="shared" si="22"/>
        <v>0</v>
      </c>
    </row>
    <row r="68" spans="1:41" x14ac:dyDescent="0.25">
      <c r="E68" s="11"/>
    </row>
    <row r="69" spans="1:41" x14ac:dyDescent="0.25">
      <c r="A69" s="3" t="s">
        <v>33</v>
      </c>
      <c r="E69" s="11"/>
      <c r="G69" s="3" t="s">
        <v>62</v>
      </c>
      <c r="H69" s="4" t="s">
        <v>59</v>
      </c>
    </row>
    <row r="70" spans="1:41" x14ac:dyDescent="0.25">
      <c r="A70" s="6">
        <v>2</v>
      </c>
      <c r="B70" s="3" t="s">
        <v>35</v>
      </c>
      <c r="C70" s="9">
        <f>AeroKTASStdDay_fHpMach(hp,Mach)</f>
        <v>1147.1384196896938</v>
      </c>
      <c r="D70" s="8">
        <v>1147.1384196896938</v>
      </c>
      <c r="E70" s="10">
        <f t="shared" ref="E70:E74" si="23">(C70-D70)/D70*100</f>
        <v>0</v>
      </c>
      <c r="H70" s="3" t="s">
        <v>16</v>
      </c>
      <c r="I70" s="9">
        <f>AeroKTAS_fMachOATCelsius(Mach, oatC)</f>
        <v>1198.9186969697705</v>
      </c>
      <c r="J70">
        <v>1198.9186969697705</v>
      </c>
      <c r="K70" s="10">
        <f t="shared" ref="K70:K75" si="24">(I70-J70)/J70*100</f>
        <v>0</v>
      </c>
    </row>
    <row r="71" spans="1:41" x14ac:dyDescent="0.25">
      <c r="B71" s="3" t="s">
        <v>34</v>
      </c>
      <c r="C71" s="9">
        <f>AeroKEAS_fHpMach(hp, Mach)</f>
        <v>569.15861743507958</v>
      </c>
      <c r="D71" s="8">
        <v>569.15861743507958</v>
      </c>
      <c r="E71" s="10">
        <f t="shared" si="23"/>
        <v>0</v>
      </c>
      <c r="H71" s="3" t="s">
        <v>45</v>
      </c>
      <c r="I71" s="9">
        <f>AeroKTAS_fMachOATKelvin(Mach, oatK)</f>
        <v>1198.9186969697705</v>
      </c>
      <c r="J71">
        <v>1198.9186969697705</v>
      </c>
      <c r="K71" s="10">
        <f t="shared" si="24"/>
        <v>0</v>
      </c>
    </row>
    <row r="72" spans="1:41" x14ac:dyDescent="0.25">
      <c r="B72" s="3" t="s">
        <v>32</v>
      </c>
      <c r="C72" s="9">
        <f>AeroKCAS_fHpMach(hp,Mach)</f>
        <v>651.13397575475301</v>
      </c>
      <c r="D72" s="8">
        <v>651.13397575475301</v>
      </c>
      <c r="E72" s="10">
        <f t="shared" si="23"/>
        <v>0</v>
      </c>
      <c r="H72" s="3" t="s">
        <v>18</v>
      </c>
      <c r="I72" s="9">
        <f>AeroKTAS_fMachOATFahrenheit(Mach, oatF)</f>
        <v>1198.9186969697705</v>
      </c>
      <c r="J72">
        <v>1198.9186969697705</v>
      </c>
      <c r="K72" s="10">
        <f t="shared" si="24"/>
        <v>0</v>
      </c>
    </row>
    <row r="73" spans="1:41" x14ac:dyDescent="0.25">
      <c r="B73" s="3" t="s">
        <v>38</v>
      </c>
      <c r="C73" s="9">
        <f>AeroQ_lbfPerFt2_fHpMach(hp,Mach)</f>
        <v>1096.7135349551847</v>
      </c>
      <c r="D73" s="8">
        <v>1096.7135349551847</v>
      </c>
      <c r="E73" s="10">
        <f t="shared" si="23"/>
        <v>0</v>
      </c>
      <c r="H73" s="3" t="s">
        <v>48</v>
      </c>
      <c r="I73" s="9">
        <f>AeroKTAS_fMachOATRankine(Mach, oatR)</f>
        <v>1198.9186969697705</v>
      </c>
      <c r="J73">
        <v>1198.9186969697705</v>
      </c>
      <c r="K73" s="10">
        <f t="shared" si="24"/>
        <v>0</v>
      </c>
    </row>
    <row r="74" spans="1:41" x14ac:dyDescent="0.25">
      <c r="B74" s="3" t="s">
        <v>39</v>
      </c>
      <c r="C74" s="9">
        <f>AeroQc_lbfPerFt2_fHpMach(hp,Mach)</f>
        <v>1817.5836598506326</v>
      </c>
      <c r="D74" s="8">
        <v>1817.5836598506326</v>
      </c>
      <c r="E74" s="10">
        <f t="shared" si="23"/>
        <v>0</v>
      </c>
      <c r="H74" s="3" t="s">
        <v>49</v>
      </c>
      <c r="I74" s="9">
        <f>AeroKTAS_fMachHpISAdevCelsius(Mach, hp, isaDevC)</f>
        <v>1198.9186969697705</v>
      </c>
      <c r="J74">
        <v>1198.9186969697705</v>
      </c>
      <c r="K74" s="10">
        <f t="shared" si="24"/>
        <v>0</v>
      </c>
    </row>
    <row r="75" spans="1:41" x14ac:dyDescent="0.25">
      <c r="E75" s="11"/>
      <c r="H75" s="3" t="s">
        <v>52</v>
      </c>
      <c r="I75" s="9">
        <f>AeroKTAS_fMachHpISAdevFahrenheit(Mach, hp, isaDevF)</f>
        <v>1198.9186969697705</v>
      </c>
      <c r="J75">
        <v>1198.9186969697705</v>
      </c>
      <c r="K75" s="10">
        <f t="shared" si="24"/>
        <v>0</v>
      </c>
    </row>
    <row r="76" spans="1:41" x14ac:dyDescent="0.25">
      <c r="E76" s="11"/>
    </row>
    <row r="77" spans="1:41" x14ac:dyDescent="0.25">
      <c r="A77" s="3" t="s">
        <v>66</v>
      </c>
      <c r="E77" s="11"/>
      <c r="G77" s="3" t="s">
        <v>67</v>
      </c>
      <c r="H77" s="4" t="s">
        <v>59</v>
      </c>
    </row>
    <row r="78" spans="1:41" x14ac:dyDescent="0.25">
      <c r="A78" s="6">
        <v>175.4736091</v>
      </c>
      <c r="B78" s="3" t="s">
        <v>33</v>
      </c>
      <c r="C78" s="9">
        <f>AeroMach_fHpQ(hp, QPSF)</f>
        <v>0.79999873145253286</v>
      </c>
      <c r="D78" s="8">
        <v>0.79999873145253297</v>
      </c>
      <c r="E78" s="10">
        <f t="shared" ref="E78:E82" si="25">(C78-D78)/D78*100</f>
        <v>-1.3877809813640064E-14</v>
      </c>
      <c r="H78" s="3" t="s">
        <v>16</v>
      </c>
      <c r="I78" s="9">
        <f>AeroKTAS_fHpQOATCelsius(hp,QPSF, oatC)</f>
        <v>479.56671834527003</v>
      </c>
      <c r="J78">
        <v>479.56671834527003</v>
      </c>
      <c r="K78" s="10">
        <f t="shared" ref="K78:K83" si="26">(I78-J78)/J78*100</f>
        <v>0</v>
      </c>
    </row>
    <row r="79" spans="1:41" x14ac:dyDescent="0.25">
      <c r="B79" s="3" t="s">
        <v>35</v>
      </c>
      <c r="C79" s="9">
        <f>AeroKtasStdDay_fHpQ(hp, QPSF)</f>
        <v>458.85464367056426</v>
      </c>
      <c r="D79" s="8">
        <v>458.85464367056397</v>
      </c>
      <c r="E79" s="10">
        <f t="shared" si="25"/>
        <v>6.1940550940156678E-14</v>
      </c>
      <c r="H79" s="3" t="s">
        <v>45</v>
      </c>
      <c r="I79" s="9">
        <f>AeroKTAS_fHpQOATKelvin(hp,QPSF, oatK)</f>
        <v>479.56671834527003</v>
      </c>
      <c r="J79">
        <v>479.56671834527003</v>
      </c>
      <c r="K79" s="10">
        <f t="shared" si="26"/>
        <v>0</v>
      </c>
    </row>
    <row r="80" spans="1:41" x14ac:dyDescent="0.25">
      <c r="B80" s="3" t="s">
        <v>34</v>
      </c>
      <c r="C80" s="9">
        <f>AeroKEAS_fQ(QPSF)</f>
        <v>227.66308765584694</v>
      </c>
      <c r="D80" s="8">
        <v>227.66308765584699</v>
      </c>
      <c r="E80" s="10">
        <f t="shared" si="25"/>
        <v>-2.4968219242786028E-14</v>
      </c>
      <c r="H80" s="3" t="s">
        <v>18</v>
      </c>
      <c r="I80" s="9">
        <f>AeroKTAS_fHpQOATFahrenheit(hp,QPSF, oatF)</f>
        <v>479.56671834527003</v>
      </c>
      <c r="J80">
        <v>479.56671834527003</v>
      </c>
      <c r="K80" s="10">
        <f t="shared" si="26"/>
        <v>0</v>
      </c>
    </row>
    <row r="81" spans="1:11" x14ac:dyDescent="0.25">
      <c r="B81" s="3" t="s">
        <v>32</v>
      </c>
      <c r="C81" s="9">
        <f>AeroKCAS_fHpQ(hp, QPSF)</f>
        <v>242.21753407978258</v>
      </c>
      <c r="D81" s="8">
        <v>242.21753407978301</v>
      </c>
      <c r="E81" s="10">
        <f t="shared" si="25"/>
        <v>-1.7600940537840441E-13</v>
      </c>
      <c r="H81" s="3" t="s">
        <v>48</v>
      </c>
      <c r="I81" s="9">
        <f>AeroKTAS_fHpQOATRankine(hp,QPSF,oatR)</f>
        <v>479.56671834527003</v>
      </c>
      <c r="J81">
        <v>479.56671834527003</v>
      </c>
      <c r="K81" s="10">
        <f t="shared" si="26"/>
        <v>0</v>
      </c>
    </row>
    <row r="82" spans="1:11" x14ac:dyDescent="0.25">
      <c r="B82" s="3" t="s">
        <v>39</v>
      </c>
      <c r="C82" s="9">
        <f>AeroQC_lbfPerFt2_fHpQ(hp, QPSF)</f>
        <v>205.37452847579871</v>
      </c>
      <c r="D82" s="8">
        <v>205.374528475799</v>
      </c>
      <c r="E82" s="10">
        <f t="shared" si="25"/>
        <v>-1.3838965153730432E-13</v>
      </c>
      <c r="H82" s="3" t="s">
        <v>49</v>
      </c>
      <c r="I82" s="9">
        <f>AeroKTAS_fHpQISAdevCelsius(hp,QPSF,isaDevC)</f>
        <v>479.56671834527003</v>
      </c>
      <c r="J82">
        <v>479.56671834527003</v>
      </c>
      <c r="K82" s="10">
        <f t="shared" si="26"/>
        <v>0</v>
      </c>
    </row>
    <row r="83" spans="1:11" x14ac:dyDescent="0.25">
      <c r="E83" s="11"/>
      <c r="H83" s="3" t="s">
        <v>52</v>
      </c>
      <c r="I83" s="9">
        <f>AeroKTAS_fHpQISAdevFahrenheit(hp,QPSF,isaDevF)</f>
        <v>479.56671834527003</v>
      </c>
      <c r="J83">
        <v>479.56671834527003</v>
      </c>
      <c r="K83" s="10">
        <f t="shared" si="26"/>
        <v>0</v>
      </c>
    </row>
    <row r="84" spans="1:11" x14ac:dyDescent="0.25">
      <c r="E84" s="11"/>
    </row>
    <row r="85" spans="1:11" x14ac:dyDescent="0.25">
      <c r="A85" s="3" t="s">
        <v>69</v>
      </c>
      <c r="E85" s="11"/>
      <c r="G85" s="3" t="s">
        <v>68</v>
      </c>
      <c r="H85" s="4" t="s">
        <v>59</v>
      </c>
    </row>
    <row r="86" spans="1:11" x14ac:dyDescent="0.25">
      <c r="A86" s="6">
        <v>1817.5778949999999</v>
      </c>
      <c r="B86" s="3" t="s">
        <v>33</v>
      </c>
      <c r="C86" s="9">
        <f>AeroMach_fHpQc(hp,QcPSF)</f>
        <v>1.9999945814102982</v>
      </c>
      <c r="D86" s="8">
        <v>1.9999945814102982</v>
      </c>
      <c r="E86" s="10">
        <f t="shared" ref="E86:E90" si="27">(C86-D86)/D86*100</f>
        <v>0</v>
      </c>
      <c r="H86" s="3" t="s">
        <v>16</v>
      </c>
      <c r="I86" s="9">
        <f>AeroKTAS_fHpQcOATCelsius(hp,QcPSF, oatC)</f>
        <v>1198.9154487455182</v>
      </c>
      <c r="J86">
        <v>1198.9154487455182</v>
      </c>
      <c r="K86" s="10">
        <f t="shared" ref="K86:K91" si="28">(I86-J86)/J86*100</f>
        <v>0</v>
      </c>
    </row>
    <row r="87" spans="1:11" x14ac:dyDescent="0.25">
      <c r="B87" s="3" t="s">
        <v>35</v>
      </c>
      <c r="C87" s="9">
        <f>AeroKTASStdDay_fHpQc(hp, QcPSF)</f>
        <v>1147.13531175348</v>
      </c>
      <c r="D87" s="8">
        <v>1147.13531175348</v>
      </c>
      <c r="E87" s="10">
        <f t="shared" si="27"/>
        <v>0</v>
      </c>
      <c r="H87" s="3" t="s">
        <v>45</v>
      </c>
      <c r="I87" s="9">
        <f>AeroKTAS_fHpQcOATKelvin(hp,QcPSF, oatK)</f>
        <v>1198.9154487455182</v>
      </c>
      <c r="J87">
        <v>1198.9154487455182</v>
      </c>
      <c r="K87" s="10">
        <f t="shared" si="28"/>
        <v>0</v>
      </c>
    </row>
    <row r="88" spans="1:11" x14ac:dyDescent="0.25">
      <c r="B88" s="3" t="s">
        <v>34</v>
      </c>
      <c r="C88" s="9">
        <f>AeroKEAS_fHPQc(hp,QcPSF)</f>
        <v>569.15707541656798</v>
      </c>
      <c r="D88" s="8">
        <v>569.15707541656798</v>
      </c>
      <c r="E88" s="10">
        <f t="shared" si="27"/>
        <v>0</v>
      </c>
      <c r="H88" s="3" t="s">
        <v>18</v>
      </c>
      <c r="I88" s="9">
        <f>AeroKTAS_fHpQcOATFahrenheit(hp,QcPSF, oatF)</f>
        <v>1198.9154487455182</v>
      </c>
      <c r="J88">
        <v>1198.9154487455182</v>
      </c>
      <c r="K88" s="10">
        <f t="shared" si="28"/>
        <v>0</v>
      </c>
    </row>
    <row r="89" spans="1:11" x14ac:dyDescent="0.25">
      <c r="B89" s="3" t="s">
        <v>32</v>
      </c>
      <c r="C89" s="9">
        <f>AeroKCAS_fQc( QcPSF)</f>
        <v>651.1331360267194</v>
      </c>
      <c r="D89" s="8">
        <v>651.1331360267194</v>
      </c>
      <c r="E89" s="10">
        <f t="shared" si="27"/>
        <v>0</v>
      </c>
      <c r="H89" s="3" t="s">
        <v>48</v>
      </c>
      <c r="I89" s="9">
        <f>AeroKTAS_fHpQcOATRankine(hp,QcPSF, oatR)</f>
        <v>1198.9154487455182</v>
      </c>
      <c r="J89">
        <v>1198.9154487455182</v>
      </c>
      <c r="K89" s="10">
        <f t="shared" si="28"/>
        <v>0</v>
      </c>
    </row>
    <row r="90" spans="1:11" x14ac:dyDescent="0.25">
      <c r="B90" s="3" t="s">
        <v>38</v>
      </c>
      <c r="C90" s="9">
        <f>AeroQ_lbfPerFt2_fHpQc(hp, QcPSF)</f>
        <v>1096.7075923225684</v>
      </c>
      <c r="D90" s="8">
        <v>1096.7075923225684</v>
      </c>
      <c r="E90" s="10">
        <f t="shared" si="27"/>
        <v>0</v>
      </c>
      <c r="H90" s="3" t="s">
        <v>49</v>
      </c>
      <c r="I90" s="9">
        <f>AeroKTAS_fHpQcISAdevCelsius(hp,QcPSF, isaDevC)</f>
        <v>1198.9154487455182</v>
      </c>
      <c r="J90">
        <v>1198.9154487455182</v>
      </c>
      <c r="K90" s="10">
        <f t="shared" si="28"/>
        <v>0</v>
      </c>
    </row>
    <row r="91" spans="1:11" x14ac:dyDescent="0.25">
      <c r="E91" s="11"/>
      <c r="H91" s="3" t="s">
        <v>52</v>
      </c>
      <c r="I91" s="9">
        <f>AeroKTAS_fHpQcISAdevFahrenheit(hp,QcPSF,isaDevF)</f>
        <v>1198.9154487455182</v>
      </c>
      <c r="J91">
        <v>1198.9154487455182</v>
      </c>
      <c r="K91" s="10">
        <f t="shared" si="28"/>
        <v>0</v>
      </c>
    </row>
    <row r="92" spans="1:11" x14ac:dyDescent="0.25">
      <c r="E92" s="11"/>
    </row>
    <row r="93" spans="1:11" x14ac:dyDescent="0.25">
      <c r="A93" s="5" t="s">
        <v>161</v>
      </c>
      <c r="E93" s="11"/>
    </row>
    <row r="94" spans="1:11" x14ac:dyDescent="0.25">
      <c r="B94" s="3" t="s">
        <v>70</v>
      </c>
      <c r="C94" s="9">
        <f>AeroViscDyn_kgPerMeterSec_fTheta(C23)</f>
        <v>1.421613079641336E-5</v>
      </c>
      <c r="D94" s="17">
        <v>1.421613079641336E-5</v>
      </c>
      <c r="E94" s="10">
        <f t="shared" ref="E94:E97" si="29">(C94-D94)/D94*100</f>
        <v>0</v>
      </c>
    </row>
    <row r="95" spans="1:11" x14ac:dyDescent="0.25">
      <c r="B95" s="3" t="s">
        <v>71</v>
      </c>
      <c r="C95" s="9">
        <f>AeroViscDyn_SlugPerftSec_fTheta(C23)</f>
        <v>2.9691006479835142E-7</v>
      </c>
      <c r="D95" s="17">
        <v>2.9691006479835142E-7</v>
      </c>
      <c r="E95" s="10">
        <f t="shared" si="29"/>
        <v>0</v>
      </c>
    </row>
    <row r="96" spans="1:11" x14ac:dyDescent="0.25">
      <c r="B96" s="3" t="s">
        <v>72</v>
      </c>
      <c r="C96" s="9">
        <f>AeroViscKin_meter2PerSec_fSigmaTheta(C24,C23)</f>
        <v>4.7142253727418243E-5</v>
      </c>
      <c r="D96" s="17">
        <v>4.7142253727418243E-5</v>
      </c>
      <c r="E96" s="10">
        <f t="shared" si="29"/>
        <v>0</v>
      </c>
    </row>
    <row r="97" spans="1:41" x14ac:dyDescent="0.25">
      <c r="B97" s="3" t="s">
        <v>73</v>
      </c>
      <c r="C97" s="9">
        <f>AeroViscKin_ft2PerSec_fSigmaTheta(C24,C23)</f>
        <v>5.0743499596372986E-4</v>
      </c>
      <c r="D97" s="8">
        <v>5.0743499596372986E-4</v>
      </c>
      <c r="E97" s="10">
        <f t="shared" si="29"/>
        <v>0</v>
      </c>
    </row>
    <row r="98" spans="1:41" x14ac:dyDescent="0.25">
      <c r="C98" s="3"/>
    </row>
    <row r="99" spans="1:41" x14ac:dyDescent="0.25">
      <c r="A99" s="5" t="s">
        <v>162</v>
      </c>
      <c r="E99" s="11"/>
    </row>
    <row r="100" spans="1:41" x14ac:dyDescent="0.25">
      <c r="A100" s="3" t="s">
        <v>37</v>
      </c>
      <c r="E100" s="11"/>
    </row>
    <row r="101" spans="1:41" x14ac:dyDescent="0.25">
      <c r="B101" s="3" t="s">
        <v>63</v>
      </c>
      <c r="C101" s="9">
        <f>AeroRePerFtStdDay_fHpMach(hp, Mach)</f>
        <v>3815565.6342436145</v>
      </c>
      <c r="D101" s="8">
        <v>3815565.6342436098</v>
      </c>
      <c r="E101" s="10">
        <f>(C101-D101)/D101*100</f>
        <v>1.2204253102831267E-13</v>
      </c>
      <c r="H101" s="3" t="s">
        <v>16</v>
      </c>
      <c r="I101" s="9">
        <f>AeroRePerFt_fHpMachOATCelsius(hp,Mach, oatC)</f>
        <v>3393447.9559419588</v>
      </c>
      <c r="J101">
        <v>3393447.9559419588</v>
      </c>
      <c r="K101" s="10">
        <f>(I101-J101)/J101*100</f>
        <v>0</v>
      </c>
      <c r="N101" s="3" t="s">
        <v>45</v>
      </c>
      <c r="O101" s="9">
        <f>AeroRePerFt_fHpMachOATKelvin(hp,Mach, oatK)</f>
        <v>3393447.9559419588</v>
      </c>
      <c r="P101" s="8">
        <v>3393447.9559419602</v>
      </c>
      <c r="Q101" s="10">
        <f t="shared" ref="Q101" si="30">(O101-P101)/P101*100</f>
        <v>-4.1167092587263212E-14</v>
      </c>
      <c r="S101" s="2"/>
      <c r="T101" s="3" t="s">
        <v>18</v>
      </c>
      <c r="U101" s="9">
        <f>AeroRePerFt_fHpMachOATFahrenheit(hp,Mach, oatF)</f>
        <v>3393447.9559419588</v>
      </c>
      <c r="V101" s="8">
        <v>3393447.9559419602</v>
      </c>
      <c r="W101" s="10">
        <f>(U101-V101)/V101*100</f>
        <v>-4.1167092587263212E-14</v>
      </c>
      <c r="Z101" s="3" t="s">
        <v>48</v>
      </c>
      <c r="AA101" s="9">
        <f>AeroRePerFt_fHpMachOATRankine(hp,Mach,oatR)</f>
        <v>3393447.9559419588</v>
      </c>
      <c r="AB101" s="8">
        <v>3393447.9559419588</v>
      </c>
      <c r="AC101" s="10">
        <f t="shared" ref="AC101" si="31">(AA101-AB101)/AB101*100</f>
        <v>0</v>
      </c>
      <c r="AF101" s="3" t="s">
        <v>49</v>
      </c>
      <c r="AG101" s="9">
        <f>AeroRePerFt_fHpMachISAdevCelsius(hp,Mach,isaDevC)</f>
        <v>3393447.9559419579</v>
      </c>
      <c r="AH101" s="8">
        <v>3393447.9559419588</v>
      </c>
      <c r="AI101" s="10">
        <f t="shared" ref="AI101" si="32">(AG101-AH101)/AH101*100</f>
        <v>-2.7444728391508823E-14</v>
      </c>
      <c r="AL101" s="3" t="s">
        <v>52</v>
      </c>
      <c r="AM101" s="9">
        <f>AeroRePerFt_fHpMachISAdevFahrenheit(hp,Mach,isaDevF)</f>
        <v>3393447.9559419579</v>
      </c>
      <c r="AN101" s="8">
        <v>3393447.9559419588</v>
      </c>
      <c r="AO101" s="10">
        <f t="shared" ref="AO101" si="33">(AM101-AN101)/AN101*100</f>
        <v>-2.7444728391508823E-14</v>
      </c>
    </row>
    <row r="103" spans="1:41" x14ac:dyDescent="0.25">
      <c r="A103" s="5" t="s">
        <v>153</v>
      </c>
      <c r="B103" s="12"/>
      <c r="C103" s="13"/>
    </row>
    <row r="104" spans="1:41" x14ac:dyDescent="0.25">
      <c r="A104" s="7" t="s">
        <v>82</v>
      </c>
    </row>
    <row r="105" spans="1:41" x14ac:dyDescent="0.25">
      <c r="A105" s="6">
        <v>36.869897645844013</v>
      </c>
      <c r="B105" s="12"/>
      <c r="C105" s="13"/>
    </row>
    <row r="106" spans="1:41" x14ac:dyDescent="0.25">
      <c r="B106" s="12" t="s">
        <v>83</v>
      </c>
      <c r="C106" s="16">
        <f>AeroTurnNz_fBankDeg(A105)</f>
        <v>1.2499999999999998</v>
      </c>
      <c r="D106" s="8">
        <v>1.2499999999999998</v>
      </c>
      <c r="E106" s="10">
        <f t="shared" ref="E106:E107" si="34">(C106-D106)/D106*100</f>
        <v>0</v>
      </c>
    </row>
    <row r="107" spans="1:41" x14ac:dyDescent="0.25">
      <c r="B107" s="3" t="s">
        <v>96</v>
      </c>
      <c r="C107" s="9">
        <f>AeroTurnBank_deg_fNz(C106)</f>
        <v>36.869897645843999</v>
      </c>
      <c r="D107" s="8">
        <v>36.869897645843999</v>
      </c>
      <c r="E107" s="10">
        <f t="shared" si="34"/>
        <v>0</v>
      </c>
    </row>
    <row r="108" spans="1:41" x14ac:dyDescent="0.25">
      <c r="A108" s="7" t="s">
        <v>94</v>
      </c>
    </row>
    <row r="109" spans="1:41" x14ac:dyDescent="0.25">
      <c r="A109" s="6">
        <f>C106</f>
        <v>1.2499999999999998</v>
      </c>
    </row>
    <row r="110" spans="1:41" x14ac:dyDescent="0.25">
      <c r="A110" s="7" t="s">
        <v>95</v>
      </c>
    </row>
    <row r="111" spans="1:41" x14ac:dyDescent="0.25">
      <c r="A111" s="6">
        <v>100</v>
      </c>
    </row>
    <row r="112" spans="1:41" x14ac:dyDescent="0.25">
      <c r="B112" s="3" t="s">
        <v>84</v>
      </c>
      <c r="C112" s="9">
        <f>AeroTurnRadius_ft_fNzKtas(A109, A111)</f>
        <v>1180.5382460055635</v>
      </c>
      <c r="D112" s="8">
        <v>1180.5382460055637</v>
      </c>
      <c r="E112" s="10">
        <f t="shared" ref="E112:E121" si="35">(C112-D112)/D112*100</f>
        <v>-1.9260170198853554E-14</v>
      </c>
    </row>
    <row r="113" spans="1:5" x14ac:dyDescent="0.25">
      <c r="B113" s="3" t="s">
        <v>85</v>
      </c>
      <c r="C113" s="9">
        <f>AeroTurnRadius_ft_fBankDegKtas(A105, A111)</f>
        <v>1180.5382460055635</v>
      </c>
      <c r="D113" s="8">
        <v>1180.5382460055637</v>
      </c>
      <c r="E113" s="10">
        <f t="shared" si="35"/>
        <v>-1.9260170198853554E-14</v>
      </c>
    </row>
    <row r="114" spans="1:5" x14ac:dyDescent="0.25">
      <c r="B114" s="3" t="s">
        <v>86</v>
      </c>
      <c r="C114" s="9">
        <f>AeroTurnNz_fRadiusFtKtas(C113, A111)</f>
        <v>1.2499999999999998</v>
      </c>
      <c r="D114" s="8">
        <v>1.2499999999999998</v>
      </c>
      <c r="E114" s="10">
        <f t="shared" si="35"/>
        <v>0</v>
      </c>
    </row>
    <row r="115" spans="1:5" x14ac:dyDescent="0.25">
      <c r="B115" s="3" t="s">
        <v>87</v>
      </c>
      <c r="C115" s="9">
        <f>AeroTurnBank_deg_fRadiusKtas(C112, A111)</f>
        <v>36.869897645843999</v>
      </c>
      <c r="D115" s="8">
        <v>36.869897645843999</v>
      </c>
      <c r="E115" s="10">
        <f t="shared" si="35"/>
        <v>0</v>
      </c>
    </row>
    <row r="116" spans="1:5" x14ac:dyDescent="0.25">
      <c r="B116" s="3" t="s">
        <v>88</v>
      </c>
      <c r="C116" s="9">
        <f>AeroTurnRate_degPerSec_fNzKtas(A109, A111)</f>
        <v>8.1915500628364502</v>
      </c>
      <c r="D116" s="8">
        <v>8.1915500628364502</v>
      </c>
      <c r="E116" s="10">
        <f t="shared" si="35"/>
        <v>0</v>
      </c>
    </row>
    <row r="117" spans="1:5" x14ac:dyDescent="0.25">
      <c r="B117" s="3" t="s">
        <v>89</v>
      </c>
      <c r="C117" s="9">
        <f>AeroTurnRate_degPerSec_fBankDegKtas(A105, A111)</f>
        <v>8.1915500628364502</v>
      </c>
      <c r="D117" s="8">
        <v>8.1915500628364502</v>
      </c>
      <c r="E117" s="10">
        <f t="shared" si="35"/>
        <v>0</v>
      </c>
    </row>
    <row r="118" spans="1:5" x14ac:dyDescent="0.25">
      <c r="B118" s="3" t="s">
        <v>90</v>
      </c>
      <c r="C118" s="9">
        <f>AeroTurnNz_fTurnRateDegPerSecKtas(C117, A111)</f>
        <v>1.2499999999999998</v>
      </c>
      <c r="D118" s="8">
        <v>1.2499999999999998</v>
      </c>
      <c r="E118" s="10">
        <f t="shared" si="35"/>
        <v>0</v>
      </c>
    </row>
    <row r="119" spans="1:5" x14ac:dyDescent="0.25">
      <c r="B119" s="3" t="s">
        <v>91</v>
      </c>
      <c r="C119" s="9">
        <f>AeroTurnBank_deg_fTurnRateDegPerSecKtas(C117, A111)</f>
        <v>36.869897645843999</v>
      </c>
      <c r="D119" s="8">
        <v>36.869897645843999</v>
      </c>
      <c r="E119" s="10">
        <f t="shared" si="35"/>
        <v>0</v>
      </c>
    </row>
    <row r="120" spans="1:5" x14ac:dyDescent="0.25">
      <c r="B120" s="3" t="s">
        <v>92</v>
      </c>
      <c r="C120" s="9">
        <f>AeroTurnRate_degPerSec_fRadiusFtKtas(C113, A111)</f>
        <v>8.1915500628364502</v>
      </c>
      <c r="D120" s="8">
        <v>8.1915500628364502</v>
      </c>
      <c r="E120" s="10">
        <f t="shared" si="35"/>
        <v>0</v>
      </c>
    </row>
    <row r="121" spans="1:5" x14ac:dyDescent="0.25">
      <c r="B121" s="3" t="s">
        <v>93</v>
      </c>
      <c r="C121" s="9">
        <f>AeroTurnRadius_ft_fTurnRateDegPerSecKtas(C120, A111)</f>
        <v>1180.5382460055637</v>
      </c>
      <c r="D121" s="8">
        <v>1180.5382460055637</v>
      </c>
      <c r="E121" s="10">
        <f t="shared" si="35"/>
        <v>0</v>
      </c>
    </row>
    <row r="123" spans="1:5" x14ac:dyDescent="0.25">
      <c r="A123" s="5" t="s">
        <v>155</v>
      </c>
    </row>
    <row r="124" spans="1:5" x14ac:dyDescent="0.25">
      <c r="A124" s="14" t="s">
        <v>97</v>
      </c>
    </row>
    <row r="125" spans="1:5" x14ac:dyDescent="0.25">
      <c r="A125" s="1">
        <v>8000</v>
      </c>
    </row>
    <row r="126" spans="1:5" x14ac:dyDescent="0.25">
      <c r="A126" s="14" t="s">
        <v>98</v>
      </c>
    </row>
    <row r="127" spans="1:5" x14ac:dyDescent="0.25">
      <c r="A127" s="1">
        <v>-60</v>
      </c>
    </row>
    <row r="128" spans="1:5" x14ac:dyDescent="0.25">
      <c r="A128" s="14" t="s">
        <v>81</v>
      </c>
    </row>
    <row r="129" spans="1:5" x14ac:dyDescent="0.25">
      <c r="A129" s="1">
        <v>100</v>
      </c>
      <c r="B129"/>
    </row>
    <row r="130" spans="1:5" x14ac:dyDescent="0.25">
      <c r="A130" s="14" t="s">
        <v>95</v>
      </c>
    </row>
    <row r="131" spans="1:5" x14ac:dyDescent="0.25">
      <c r="A131" s="1">
        <v>160</v>
      </c>
      <c r="B131" s="2"/>
    </row>
    <row r="132" spans="1:5" x14ac:dyDescent="0.25">
      <c r="A132"/>
      <c r="B132" s="3" t="s">
        <v>99</v>
      </c>
      <c r="C132" s="9">
        <f>AeroRoc_HpFtPerMin_fHpIsaDevCGradFtPerNmKtas(A125,A127,A129,A131)</f>
        <v>342.03157412798095</v>
      </c>
      <c r="D132" s="8">
        <v>342.03157412798095</v>
      </c>
      <c r="E132" s="10">
        <f t="shared" ref="E132:E134" si="36">(C132-D132)/D132*100</f>
        <v>0</v>
      </c>
    </row>
    <row r="133" spans="1:5" x14ac:dyDescent="0.25">
      <c r="B133" s="15" t="s">
        <v>101</v>
      </c>
      <c r="C133" s="9">
        <f>AeroKCAS_fHpKTASISAdevCelsius(A125,A131,A127)</f>
        <v>161.05471193612797</v>
      </c>
      <c r="D133" s="8">
        <v>161.05471193612797</v>
      </c>
      <c r="E133" s="10">
        <f t="shared" si="36"/>
        <v>0</v>
      </c>
    </row>
    <row r="134" spans="1:5" x14ac:dyDescent="0.25">
      <c r="A134"/>
      <c r="B134" s="3" t="s">
        <v>100</v>
      </c>
      <c r="C134" s="9">
        <f>AeroRoc_HpFtPerMin_fHpIsaDevCGradFtPerNmKcas(A125,A127,A129,C133)</f>
        <v>342.03157412797867</v>
      </c>
      <c r="D134" s="8">
        <v>342.03157412797867</v>
      </c>
      <c r="E134" s="10">
        <f t="shared" si="36"/>
        <v>0</v>
      </c>
    </row>
    <row r="135" spans="1:5" x14ac:dyDescent="0.25">
      <c r="A135"/>
    </row>
    <row r="136" spans="1:5" x14ac:dyDescent="0.25">
      <c r="A136" s="5" t="s">
        <v>158</v>
      </c>
    </row>
    <row r="137" spans="1:5" x14ac:dyDescent="0.25">
      <c r="A137" s="7" t="s">
        <v>139</v>
      </c>
    </row>
    <row r="138" spans="1:5" x14ac:dyDescent="0.25">
      <c r="A138" s="6">
        <v>28000</v>
      </c>
    </row>
    <row r="139" spans="1:5" x14ac:dyDescent="0.25">
      <c r="A139" s="7" t="s">
        <v>137</v>
      </c>
    </row>
    <row r="140" spans="1:5" x14ac:dyDescent="0.25">
      <c r="A140" s="6">
        <v>-30</v>
      </c>
    </row>
    <row r="141" spans="1:5" x14ac:dyDescent="0.25">
      <c r="A141" s="7" t="s">
        <v>138</v>
      </c>
    </row>
    <row r="142" spans="1:5" x14ac:dyDescent="0.25">
      <c r="A142" s="6">
        <v>5000</v>
      </c>
    </row>
    <row r="143" spans="1:5" x14ac:dyDescent="0.25">
      <c r="B143" s="3" t="s">
        <v>148</v>
      </c>
      <c r="C143" s="9">
        <f>[1]!AeroDGeoPtlAlt_fDHpIsaDevCBaseHp(A138, A140, A142)</f>
        <v>24632.998634388437</v>
      </c>
      <c r="D143" s="8">
        <v>24632.998634388437</v>
      </c>
      <c r="E143" s="10">
        <f t="shared" ref="E143:E144" si="37">(C143-D143)/D143*100</f>
        <v>0</v>
      </c>
    </row>
    <row r="144" spans="1:5" x14ac:dyDescent="0.25">
      <c r="B144" s="3" t="s">
        <v>149</v>
      </c>
      <c r="C144" s="9">
        <f>AeroDHp_fDGeoPtlAltIsaDevCBaseHp(C143, A140, A142)</f>
        <v>27999.786367174285</v>
      </c>
      <c r="D144" s="8">
        <v>28000</v>
      </c>
      <c r="E144" s="10">
        <f t="shared" si="37"/>
        <v>-7.6297437755264196E-4</v>
      </c>
    </row>
    <row r="145" spans="1:6" x14ac:dyDescent="0.25">
      <c r="D145" s="7"/>
    </row>
    <row r="146" spans="1:6" x14ac:dyDescent="0.25">
      <c r="A146" s="5" t="s">
        <v>157</v>
      </c>
      <c r="D146" s="7"/>
    </row>
    <row r="147" spans="1:6" x14ac:dyDescent="0.25">
      <c r="A147" s="7" t="s">
        <v>150</v>
      </c>
      <c r="D147" s="7"/>
    </row>
    <row r="148" spans="1:6" x14ac:dyDescent="0.25">
      <c r="A148" s="6">
        <v>29.4</v>
      </c>
    </row>
    <row r="149" spans="1:6" x14ac:dyDescent="0.25">
      <c r="A149" s="7" t="s">
        <v>135</v>
      </c>
      <c r="D149" s="7"/>
      <c r="E149" s="3"/>
      <c r="F149" s="8"/>
    </row>
    <row r="150" spans="1:6" x14ac:dyDescent="0.25">
      <c r="A150" s="7">
        <f>[1]!AeroConvInHgToHPa(A148)</f>
        <v>995.59836599999994</v>
      </c>
      <c r="D150" s="7"/>
      <c r="E150" s="3"/>
      <c r="F150" s="8"/>
    </row>
    <row r="151" spans="1:6" x14ac:dyDescent="0.25">
      <c r="A151" s="7" t="s">
        <v>136</v>
      </c>
      <c r="D151" s="7"/>
      <c r="E151" s="3"/>
      <c r="F151" s="8"/>
    </row>
    <row r="152" spans="1:6" x14ac:dyDescent="0.25">
      <c r="A152" s="6">
        <v>1000</v>
      </c>
      <c r="D152" s="7"/>
      <c r="E152" s="3"/>
      <c r="F152" s="8"/>
    </row>
    <row r="153" spans="1:6" x14ac:dyDescent="0.25">
      <c r="B153" s="3" t="s">
        <v>140</v>
      </c>
      <c r="C153" s="9">
        <f>AeroHp_fQnhHPaGeoPtlAlt(A150,A152)</f>
        <v>1485.5097177399189</v>
      </c>
      <c r="D153" s="7">
        <v>1485.5097177399189</v>
      </c>
      <c r="E153" s="10">
        <f t="shared" ref="E153:E159" si="38">(C153-D153)/D153*100</f>
        <v>0</v>
      </c>
      <c r="F153" s="8"/>
    </row>
    <row r="154" spans="1:6" x14ac:dyDescent="0.25">
      <c r="B154" s="3" t="s">
        <v>114</v>
      </c>
      <c r="C154" s="9">
        <f>AeroConvHPaToInHg(A150)</f>
        <v>29.4</v>
      </c>
      <c r="D154" s="8">
        <v>29.4</v>
      </c>
      <c r="E154" s="10">
        <f t="shared" si="38"/>
        <v>0</v>
      </c>
      <c r="F154" s="3"/>
    </row>
    <row r="155" spans="1:6" x14ac:dyDescent="0.25">
      <c r="B155" s="3" t="s">
        <v>141</v>
      </c>
      <c r="C155" s="9">
        <f>AeroHp_fQnhInHgGeoPtlAlt(C154,A152)</f>
        <v>1485.5097177399189</v>
      </c>
      <c r="D155" s="7">
        <v>1485.5097177399189</v>
      </c>
      <c r="E155" s="10">
        <f t="shared" si="38"/>
        <v>0</v>
      </c>
      <c r="F155" s="8"/>
    </row>
    <row r="156" spans="1:6" x14ac:dyDescent="0.25">
      <c r="B156" s="3" t="s">
        <v>115</v>
      </c>
      <c r="C156" s="9">
        <f>AeroConvHPaToLbfPerFt2(A150)</f>
        <v>2079.3504195724731</v>
      </c>
      <c r="D156" s="8">
        <v>2079.3504195724731</v>
      </c>
      <c r="E156" s="10">
        <f t="shared" ref="E156" si="39">(C156-D156)/D156*100</f>
        <v>0</v>
      </c>
      <c r="F156" s="3"/>
    </row>
    <row r="157" spans="1:6" x14ac:dyDescent="0.25">
      <c r="B157" s="3" t="s">
        <v>142</v>
      </c>
      <c r="C157" s="9">
        <f>AeroHp_fQnhLbfPerFt2GeoPtlAlt(C156,A152)</f>
        <v>1485.5097177399189</v>
      </c>
      <c r="D157" s="7">
        <v>1485.5097177399189</v>
      </c>
      <c r="E157" s="10">
        <f t="shared" si="38"/>
        <v>0</v>
      </c>
      <c r="F157" s="8"/>
    </row>
    <row r="158" spans="1:6" x14ac:dyDescent="0.25">
      <c r="B158" s="3" t="s">
        <v>116</v>
      </c>
      <c r="C158" s="9">
        <f>AeroConvHPaToLbfPerInch2(A150)</f>
        <v>14.439933469253285</v>
      </c>
      <c r="D158" s="8">
        <v>14.439933469253285</v>
      </c>
      <c r="E158" s="10">
        <f t="shared" ref="E158" si="40">(C158-D158)/D158*100</f>
        <v>0</v>
      </c>
      <c r="F158" s="3"/>
    </row>
    <row r="159" spans="1:6" x14ac:dyDescent="0.25">
      <c r="B159" s="3" t="s">
        <v>143</v>
      </c>
      <c r="C159" s="9">
        <f>AeroHp_fQnhLbfPerInch2GeoPtlAlt(C158,A152)</f>
        <v>1485.5097177399189</v>
      </c>
      <c r="D159" s="7">
        <v>1485.5097177399189</v>
      </c>
      <c r="E159" s="10">
        <f t="shared" si="38"/>
        <v>0</v>
      </c>
      <c r="F159" s="8"/>
    </row>
    <row r="160" spans="1:6" x14ac:dyDescent="0.25">
      <c r="D160" s="7"/>
      <c r="E160" s="3"/>
      <c r="F160" s="8"/>
    </row>
    <row r="161" spans="1:35" x14ac:dyDescent="0.25">
      <c r="B161" s="3" t="s">
        <v>144</v>
      </c>
      <c r="C161" s="9">
        <f>AeroQnh_hPa_fHpGeoPtlAlt(C159, A152)</f>
        <v>995.59836599999994</v>
      </c>
      <c r="D161" s="8">
        <v>995.59836599999994</v>
      </c>
      <c r="E161" s="10">
        <f t="shared" ref="E161:E164" si="41">(C161-D161)/D161*100</f>
        <v>0</v>
      </c>
      <c r="F161" s="3"/>
    </row>
    <row r="162" spans="1:35" x14ac:dyDescent="0.25">
      <c r="B162" s="3" t="s">
        <v>145</v>
      </c>
      <c r="C162" s="9">
        <f>AeroQnh_inHg_fHpGeoPtlAlt(C159, A152)</f>
        <v>29.4</v>
      </c>
      <c r="D162" s="8">
        <v>29.4</v>
      </c>
      <c r="E162" s="10">
        <f t="shared" si="41"/>
        <v>0</v>
      </c>
      <c r="F162" s="3"/>
    </row>
    <row r="163" spans="1:35" x14ac:dyDescent="0.25">
      <c r="B163" s="3" t="s">
        <v>146</v>
      </c>
      <c r="C163" s="9">
        <f>AeroQnh_lbPerFt2_fHpGeoPtlAlt(C159, A152)</f>
        <v>2079.3504195724731</v>
      </c>
      <c r="D163" s="8">
        <v>2079.3504195724731</v>
      </c>
      <c r="E163" s="10">
        <f t="shared" si="41"/>
        <v>0</v>
      </c>
      <c r="F163" s="3"/>
    </row>
    <row r="164" spans="1:35" x14ac:dyDescent="0.25">
      <c r="B164" s="3" t="s">
        <v>147</v>
      </c>
      <c r="C164" s="9">
        <f>AeroQnh_lbPerInch2_fHpGeoPtlAlt(C159, A152)</f>
        <v>14.439933469253285</v>
      </c>
      <c r="D164" s="8">
        <v>14.439933469253285</v>
      </c>
      <c r="E164" s="10">
        <f t="shared" si="41"/>
        <v>0</v>
      </c>
      <c r="F164" s="3"/>
    </row>
    <row r="165" spans="1:35" x14ac:dyDescent="0.25">
      <c r="A165" s="8"/>
    </row>
    <row r="166" spans="1:35" x14ac:dyDescent="0.25">
      <c r="A166" s="5" t="s">
        <v>156</v>
      </c>
    </row>
    <row r="167" spans="1:35" x14ac:dyDescent="0.25">
      <c r="A167" s="7" t="s">
        <v>111</v>
      </c>
      <c r="G167" s="7" t="s">
        <v>111</v>
      </c>
      <c r="J167" s="8"/>
      <c r="K167" s="8"/>
      <c r="M167" s="7" t="s">
        <v>111</v>
      </c>
      <c r="N167" s="3"/>
      <c r="S167" s="7" t="s">
        <v>111</v>
      </c>
      <c r="T167" s="3"/>
      <c r="Y167" s="7" t="s">
        <v>111</v>
      </c>
      <c r="Z167" s="3"/>
      <c r="AE167" s="7" t="s">
        <v>111</v>
      </c>
      <c r="AF167" s="3"/>
    </row>
    <row r="168" spans="1:35" x14ac:dyDescent="0.25">
      <c r="A168" s="6">
        <v>30</v>
      </c>
      <c r="G168" s="6">
        <v>-1</v>
      </c>
      <c r="J168" s="8"/>
      <c r="K168" s="8"/>
      <c r="M168" s="6">
        <v>45</v>
      </c>
      <c r="N168" s="3"/>
      <c r="S168" s="6">
        <v>361</v>
      </c>
      <c r="T168" s="3"/>
      <c r="Y168" s="6">
        <v>45</v>
      </c>
      <c r="Z168" s="3"/>
      <c r="AE168" s="6">
        <v>45</v>
      </c>
      <c r="AF168" s="3"/>
    </row>
    <row r="169" spans="1:35" x14ac:dyDescent="0.25">
      <c r="A169" s="7" t="s">
        <v>112</v>
      </c>
      <c r="G169" s="7" t="s">
        <v>112</v>
      </c>
      <c r="J169" s="8"/>
      <c r="K169" s="8"/>
      <c r="M169" s="7" t="s">
        <v>112</v>
      </c>
      <c r="N169" s="3"/>
      <c r="S169" s="7" t="s">
        <v>112</v>
      </c>
      <c r="T169" s="3"/>
      <c r="Y169" s="7" t="s">
        <v>112</v>
      </c>
      <c r="Z169" s="3"/>
      <c r="AE169" s="7" t="s">
        <v>112</v>
      </c>
      <c r="AF169" s="3"/>
    </row>
    <row r="170" spans="1:35" x14ac:dyDescent="0.25">
      <c r="A170" s="6">
        <v>90</v>
      </c>
      <c r="G170" s="6">
        <v>90</v>
      </c>
      <c r="J170" s="8"/>
      <c r="K170" s="8"/>
      <c r="M170" s="6">
        <v>-1</v>
      </c>
      <c r="N170" s="3"/>
      <c r="S170" s="6">
        <v>90</v>
      </c>
      <c r="T170" s="3"/>
      <c r="Y170" s="6">
        <v>361</v>
      </c>
      <c r="Z170" s="3"/>
      <c r="AE170" s="6">
        <v>90</v>
      </c>
      <c r="AF170" s="3"/>
    </row>
    <row r="171" spans="1:35" x14ac:dyDescent="0.25">
      <c r="A171" s="7" t="s">
        <v>113</v>
      </c>
      <c r="G171" s="7" t="s">
        <v>113</v>
      </c>
      <c r="J171" s="8"/>
      <c r="K171" s="8"/>
      <c r="M171" s="7" t="s">
        <v>113</v>
      </c>
      <c r="N171" s="3"/>
      <c r="S171" s="7" t="s">
        <v>113</v>
      </c>
      <c r="T171" s="3"/>
      <c r="Y171" s="7" t="s">
        <v>113</v>
      </c>
      <c r="Z171" s="3"/>
      <c r="AE171" s="7" t="s">
        <v>113</v>
      </c>
      <c r="AF171" s="3"/>
    </row>
    <row r="172" spans="1:35" x14ac:dyDescent="0.25">
      <c r="A172" s="6">
        <v>45</v>
      </c>
      <c r="G172" s="6">
        <v>45</v>
      </c>
      <c r="J172" s="8"/>
      <c r="K172" s="8"/>
      <c r="M172" s="6">
        <v>45</v>
      </c>
      <c r="N172" s="3"/>
      <c r="S172" s="6">
        <v>45</v>
      </c>
      <c r="T172" s="3"/>
      <c r="Y172" s="6">
        <v>45</v>
      </c>
      <c r="Z172" s="3"/>
      <c r="AE172" s="6">
        <v>-1</v>
      </c>
      <c r="AF172" s="3"/>
    </row>
    <row r="173" spans="1:35" x14ac:dyDescent="0.25">
      <c r="B173" s="3" t="s">
        <v>171</v>
      </c>
      <c r="C173" s="9">
        <f>AeroWndHead_fAcHdgWndHdgWndSpd(A168,A170,A172)</f>
        <v>22.500000000000004</v>
      </c>
      <c r="D173" s="8">
        <v>22.500000000000004</v>
      </c>
      <c r="E173" s="10">
        <f>(C173-D173)/D173*100</f>
        <v>0</v>
      </c>
      <c r="H173" s="3" t="s">
        <v>171</v>
      </c>
      <c r="I173" s="9">
        <f>AeroWndHead_fAcHdgWndHdgWndSpd(G168,G170,G172)</f>
        <v>-99999999.999999896</v>
      </c>
      <c r="J173" s="8">
        <v>-99999999.999999896</v>
      </c>
      <c r="K173" s="10">
        <f>(I173-J173)/J173*100</f>
        <v>0</v>
      </c>
      <c r="M173" s="7"/>
      <c r="N173" s="3" t="s">
        <v>171</v>
      </c>
      <c r="O173" s="9">
        <f>AeroWndHead_fAcHdgWndHdgWndSpd(M168,M170,M172)</f>
        <v>-99999999.999999896</v>
      </c>
      <c r="P173" s="8">
        <v>-99999999.999999896</v>
      </c>
      <c r="Q173" s="10">
        <f>(O173-P173)/P173*100</f>
        <v>0</v>
      </c>
      <c r="S173" s="7"/>
      <c r="T173" s="3" t="s">
        <v>171</v>
      </c>
      <c r="U173" s="9">
        <f>AeroWndHead_fAcHdgWndHdgWndSpd(S168,S170,S172)</f>
        <v>-99999999.999999896</v>
      </c>
      <c r="V173" s="8">
        <v>-99999999.999999896</v>
      </c>
      <c r="W173" s="10">
        <f>(U173-V173)/V173*100</f>
        <v>0</v>
      </c>
      <c r="Y173" s="7"/>
      <c r="Z173" s="3" t="s">
        <v>171</v>
      </c>
      <c r="AA173" s="9">
        <f>AeroWndHead_fAcHdgWndHdgWndSpd(Y168,Y170,Y172)</f>
        <v>-99999999.999999896</v>
      </c>
      <c r="AB173" s="8">
        <v>-99999999.999999896</v>
      </c>
      <c r="AC173" s="10">
        <f>(AA173-AB173)/AB173*100</f>
        <v>0</v>
      </c>
      <c r="AE173" s="7"/>
      <c r="AF173" s="3" t="s">
        <v>171</v>
      </c>
      <c r="AG173" s="9">
        <f>AeroWndHead_fAcHdgWndHdgWndSpd(AE168,AE170,AE172)</f>
        <v>-99999999.999999896</v>
      </c>
      <c r="AH173" s="8">
        <v>-99999999.999999896</v>
      </c>
      <c r="AI173" s="10">
        <f>(AG173-AH173)/AH173*100</f>
        <v>0</v>
      </c>
    </row>
    <row r="174" spans="1:35" x14ac:dyDescent="0.25">
      <c r="B174" s="3" t="s">
        <v>172</v>
      </c>
      <c r="C174" s="9">
        <f>AeroWndCross_fAcHdgWndHdgWndSpd(A168,A170,A172)</f>
        <v>38.97114317029974</v>
      </c>
      <c r="D174" s="8">
        <v>38.97114317029974</v>
      </c>
      <c r="E174" s="10">
        <f>(C174-D174)/D174*100</f>
        <v>0</v>
      </c>
      <c r="H174" s="3" t="s">
        <v>172</v>
      </c>
      <c r="I174" s="9">
        <f>AeroWndCross_fAcHdgWndHdgWndSpd(G168,G170,G172)</f>
        <v>-99999999.999999896</v>
      </c>
      <c r="J174" s="8">
        <v>-99999999.999999896</v>
      </c>
      <c r="K174" s="10">
        <f>(I174-J174)/J174*100</f>
        <v>0</v>
      </c>
      <c r="M174" s="7"/>
      <c r="N174" s="3" t="s">
        <v>172</v>
      </c>
      <c r="O174" s="9">
        <f>AeroWndCross_fAcHdgWndHdgWndSpd(M168,M170,M172)</f>
        <v>-99999999.999999896</v>
      </c>
      <c r="P174" s="8">
        <v>-99999999.999999896</v>
      </c>
      <c r="Q174" s="10">
        <f>(O174-P174)/P174*100</f>
        <v>0</v>
      </c>
      <c r="S174" s="7"/>
      <c r="T174" s="3" t="s">
        <v>172</v>
      </c>
      <c r="U174" s="9">
        <f>AeroWndCross_fAcHdgWndHdgWndSpd(S168,S170,S172)</f>
        <v>-99999999.999999896</v>
      </c>
      <c r="V174" s="8">
        <v>-99999999.999999896</v>
      </c>
      <c r="W174" s="10">
        <f>(U174-V174)/V174*100</f>
        <v>0</v>
      </c>
      <c r="Y174" s="7"/>
      <c r="Z174" s="3" t="s">
        <v>172</v>
      </c>
      <c r="AA174" s="9">
        <f>AeroWndCross_fAcHdgWndHdgWndSpd(Y168,Y170,Y172)</f>
        <v>-99999999.999999896</v>
      </c>
      <c r="AB174" s="8">
        <v>-99999999.999999896</v>
      </c>
      <c r="AC174" s="10">
        <f>(AA174-AB174)/AB174*100</f>
        <v>0</v>
      </c>
      <c r="AE174" s="7"/>
      <c r="AF174" s="3" t="s">
        <v>172</v>
      </c>
      <c r="AG174" s="9">
        <f>AeroWndCross_fAcHdgWndHdgWndSpd(AE168,AE170,AE172)</f>
        <v>-99999999.999999896</v>
      </c>
      <c r="AH174" s="8">
        <v>-99999999.999999896</v>
      </c>
      <c r="AI174" s="10">
        <f>(AG174-AH174)/AH174*100</f>
        <v>0</v>
      </c>
    </row>
    <row r="176" spans="1:35" x14ac:dyDescent="0.25">
      <c r="A176" s="5" t="s">
        <v>154</v>
      </c>
    </row>
    <row r="177" spans="1:41" x14ac:dyDescent="0.25">
      <c r="A177" s="7" t="s">
        <v>166</v>
      </c>
    </row>
    <row r="178" spans="1:41" x14ac:dyDescent="0.25">
      <c r="A178" s="6">
        <v>6076.1</v>
      </c>
      <c r="B178" s="3" t="s">
        <v>185</v>
      </c>
      <c r="C178" s="9">
        <f>AeroConvFtToMeter(lengthFeet)</f>
        <v>1851.9952800000001</v>
      </c>
      <c r="D178" s="8">
        <v>1851.9952800000001</v>
      </c>
      <c r="E178" s="10">
        <f t="shared" ref="E178:E197" si="42">(C178-D178)/D178*100</f>
        <v>0</v>
      </c>
    </row>
    <row r="179" spans="1:41" x14ac:dyDescent="0.25">
      <c r="B179" s="3" t="s">
        <v>180</v>
      </c>
      <c r="C179" s="9">
        <f>AeroConvFtToKm(lengthFeet)</f>
        <v>1.8519952800000001</v>
      </c>
      <c r="D179" s="8">
        <v>1.8519952800000001</v>
      </c>
      <c r="E179" s="10">
        <f t="shared" si="42"/>
        <v>0</v>
      </c>
    </row>
    <row r="180" spans="1:41" x14ac:dyDescent="0.25">
      <c r="B180" s="3" t="s">
        <v>181</v>
      </c>
      <c r="C180" s="9">
        <f>AeroConvFtToMile(lengthFeet)</f>
        <v>1.1507765151515152</v>
      </c>
      <c r="D180" s="8">
        <v>1.1507765151515152</v>
      </c>
      <c r="E180" s="10">
        <f t="shared" si="42"/>
        <v>0</v>
      </c>
    </row>
    <row r="181" spans="1:41" x14ac:dyDescent="0.25">
      <c r="B181" s="3" t="s">
        <v>200</v>
      </c>
      <c r="C181" s="9">
        <f>AeroConvMeterToFt(D178)</f>
        <v>6076.1</v>
      </c>
      <c r="D181" s="8">
        <v>6076.1</v>
      </c>
      <c r="E181" s="10">
        <f t="shared" si="42"/>
        <v>0</v>
      </c>
    </row>
    <row r="182" spans="1:41" x14ac:dyDescent="0.25">
      <c r="B182" s="3" t="s">
        <v>201</v>
      </c>
      <c r="C182" s="9">
        <f>AeroConvMeterToNm(D178)</f>
        <v>0.99999745140388774</v>
      </c>
      <c r="D182" s="8">
        <v>0.99999745140388774</v>
      </c>
      <c r="E182" s="10">
        <f t="shared" si="42"/>
        <v>0</v>
      </c>
    </row>
    <row r="183" spans="1:41" x14ac:dyDescent="0.25">
      <c r="B183" s="3" t="s">
        <v>202</v>
      </c>
      <c r="C183" s="9">
        <f>AeroConvMeterToKm(D178)</f>
        <v>1.8519952800000001</v>
      </c>
      <c r="D183" s="8">
        <v>1.8519952800000001</v>
      </c>
      <c r="E183" s="10">
        <f t="shared" si="42"/>
        <v>0</v>
      </c>
    </row>
    <row r="184" spans="1:41" x14ac:dyDescent="0.25">
      <c r="B184" s="3" t="s">
        <v>203</v>
      </c>
      <c r="C184" s="9">
        <f>AeroConvMeterToMile(D178)</f>
        <v>1.1507765151515152</v>
      </c>
      <c r="D184" s="8">
        <v>1.1507765151515152</v>
      </c>
      <c r="E184" s="10">
        <f t="shared" si="42"/>
        <v>0</v>
      </c>
    </row>
    <row r="185" spans="1:41" x14ac:dyDescent="0.25">
      <c r="B185" s="3" t="s">
        <v>184</v>
      </c>
      <c r="C185" s="9">
        <f>AeroConvNmToMeter(D182)</f>
        <v>1851.9952800000001</v>
      </c>
      <c r="D185" s="8">
        <v>1851.9952800000001</v>
      </c>
      <c r="E185" s="10">
        <f t="shared" si="42"/>
        <v>0</v>
      </c>
    </row>
    <row r="186" spans="1:41" x14ac:dyDescent="0.25">
      <c r="B186" s="3" t="s">
        <v>182</v>
      </c>
      <c r="C186" s="9">
        <f>AeroConvNmToKm(D182)</f>
        <v>1.8519952800000001</v>
      </c>
      <c r="D186" s="8">
        <v>1.8519952800000001</v>
      </c>
      <c r="E186" s="10">
        <f t="shared" si="42"/>
        <v>0</v>
      </c>
    </row>
    <row r="187" spans="1:41" x14ac:dyDescent="0.25">
      <c r="B187" s="3" t="s">
        <v>183</v>
      </c>
      <c r="C187" s="9">
        <f>AeroConvNmToMile(D182)</f>
        <v>1.1507765151515152</v>
      </c>
      <c r="D187" s="8">
        <v>1.1507765151515152</v>
      </c>
      <c r="E187" s="10">
        <f t="shared" si="42"/>
        <v>0</v>
      </c>
    </row>
    <row r="188" spans="1:41" x14ac:dyDescent="0.25">
      <c r="B188" s="3" t="s">
        <v>74</v>
      </c>
      <c r="C188" s="9">
        <f>AeroConvFtToNm(lengthFeet)</f>
        <v>0.99999745140388774</v>
      </c>
      <c r="D188" s="8">
        <v>0.99999745140388774</v>
      </c>
      <c r="E188" s="10">
        <f t="shared" si="42"/>
        <v>0</v>
      </c>
    </row>
    <row r="189" spans="1:41" x14ac:dyDescent="0.25">
      <c r="B189" s="3" t="s">
        <v>75</v>
      </c>
      <c r="C189" s="9">
        <f>AeroConvNmToFt(D182)</f>
        <v>6076.1</v>
      </c>
      <c r="D189" s="8">
        <v>6076.1</v>
      </c>
      <c r="E189" s="10">
        <f t="shared" si="42"/>
        <v>0</v>
      </c>
    </row>
    <row r="190" spans="1:41" s="18" customFormat="1" x14ac:dyDescent="0.25">
      <c r="A190" s="7"/>
      <c r="B190" s="3" t="s">
        <v>204</v>
      </c>
      <c r="C190" s="9">
        <f>AeroConvMileToFt(D184)</f>
        <v>6076.1</v>
      </c>
      <c r="D190" s="8">
        <v>6076.1</v>
      </c>
      <c r="E190" s="10">
        <f t="shared" si="42"/>
        <v>0</v>
      </c>
      <c r="G190" s="7"/>
      <c r="H190" s="3"/>
      <c r="I190" s="8"/>
      <c r="N190" s="7"/>
      <c r="O190" s="8"/>
      <c r="P190" s="8"/>
      <c r="Q190" s="8"/>
      <c r="T190" s="7"/>
      <c r="U190" s="8"/>
      <c r="V190" s="8"/>
      <c r="W190" s="8"/>
      <c r="Z190" s="7"/>
      <c r="AA190" s="8"/>
      <c r="AB190" s="8"/>
      <c r="AC190" s="8"/>
      <c r="AF190" s="7"/>
      <c r="AG190" s="8"/>
      <c r="AH190" s="8"/>
      <c r="AI190" s="8"/>
      <c r="AL190" s="7"/>
      <c r="AM190" s="8"/>
      <c r="AN190" s="8"/>
      <c r="AO190" s="8"/>
    </row>
    <row r="191" spans="1:41" s="18" customFormat="1" x14ac:dyDescent="0.25">
      <c r="A191" s="7"/>
      <c r="B191" s="3" t="s">
        <v>205</v>
      </c>
      <c r="C191" s="9">
        <f>AeroConvMileToNm(D180)</f>
        <v>0.99999745140388774</v>
      </c>
      <c r="D191" s="8">
        <v>0.99999745140388774</v>
      </c>
      <c r="E191" s="10">
        <f t="shared" si="42"/>
        <v>0</v>
      </c>
      <c r="G191" s="7"/>
      <c r="H191" s="3"/>
      <c r="I191" s="8"/>
      <c r="N191" s="7"/>
      <c r="O191" s="8"/>
      <c r="P191" s="8"/>
      <c r="Q191" s="8"/>
      <c r="T191" s="7"/>
      <c r="U191" s="8"/>
      <c r="V191" s="8"/>
      <c r="W191" s="8"/>
      <c r="Z191" s="7"/>
      <c r="AA191" s="8"/>
      <c r="AB191" s="8"/>
      <c r="AC191" s="8"/>
      <c r="AF191" s="7"/>
      <c r="AG191" s="8"/>
      <c r="AH191" s="8"/>
      <c r="AI191" s="8"/>
      <c r="AL191" s="7"/>
      <c r="AM191" s="8"/>
      <c r="AN191" s="8"/>
      <c r="AO191" s="8"/>
    </row>
    <row r="192" spans="1:41" s="18" customFormat="1" x14ac:dyDescent="0.25">
      <c r="A192" s="7"/>
      <c r="B192" s="3" t="s">
        <v>206</v>
      </c>
      <c r="C192" s="9">
        <f>AeroConvMileToMeter(D180)</f>
        <v>1851.9952800000001</v>
      </c>
      <c r="D192" s="8">
        <v>1851.9952800000001</v>
      </c>
      <c r="E192" s="10">
        <f t="shared" si="42"/>
        <v>0</v>
      </c>
      <c r="G192" s="7"/>
      <c r="H192" s="3"/>
      <c r="I192" s="8"/>
      <c r="N192" s="7"/>
      <c r="O192" s="8"/>
      <c r="P192" s="8"/>
      <c r="Q192" s="8"/>
      <c r="T192" s="7"/>
      <c r="U192" s="8"/>
      <c r="V192" s="8"/>
      <c r="W192" s="8"/>
      <c r="Z192" s="7"/>
      <c r="AA192" s="8"/>
      <c r="AB192" s="8"/>
      <c r="AC192" s="8"/>
      <c r="AF192" s="7"/>
      <c r="AG192" s="8"/>
      <c r="AH192" s="8"/>
      <c r="AI192" s="8"/>
      <c r="AL192" s="7"/>
      <c r="AM192" s="8"/>
      <c r="AN192" s="8"/>
      <c r="AO192" s="8"/>
    </row>
    <row r="193" spans="1:41" s="18" customFormat="1" x14ac:dyDescent="0.25">
      <c r="A193" s="7"/>
      <c r="B193" s="3" t="s">
        <v>207</v>
      </c>
      <c r="C193" s="9">
        <f>AeroConvMileToKm(D180)</f>
        <v>1.8519952800000001</v>
      </c>
      <c r="D193" s="8">
        <v>1.8519952800000001</v>
      </c>
      <c r="E193" s="10">
        <f t="shared" si="42"/>
        <v>0</v>
      </c>
      <c r="G193" s="7"/>
      <c r="H193" s="3"/>
      <c r="I193" s="8"/>
      <c r="N193" s="7"/>
      <c r="O193" s="8"/>
      <c r="P193" s="8"/>
      <c r="Q193" s="8"/>
      <c r="T193" s="7"/>
      <c r="U193" s="8"/>
      <c r="V193" s="8"/>
      <c r="W193" s="8"/>
      <c r="Z193" s="7"/>
      <c r="AA193" s="8"/>
      <c r="AB193" s="8"/>
      <c r="AC193" s="8"/>
      <c r="AF193" s="7"/>
      <c r="AG193" s="8"/>
      <c r="AH193" s="8"/>
      <c r="AI193" s="8"/>
      <c r="AL193" s="7"/>
      <c r="AM193" s="8"/>
      <c r="AN193" s="8"/>
      <c r="AO193" s="8"/>
    </row>
    <row r="194" spans="1:41" s="18" customFormat="1" x14ac:dyDescent="0.25">
      <c r="A194" s="7"/>
      <c r="B194" s="3" t="s">
        <v>208</v>
      </c>
      <c r="C194" s="9">
        <f>AeroConvKmToFt(D179)</f>
        <v>6076.1</v>
      </c>
      <c r="D194" s="8">
        <v>6076.1</v>
      </c>
      <c r="E194" s="10">
        <f t="shared" si="42"/>
        <v>0</v>
      </c>
      <c r="G194" s="7"/>
      <c r="H194" s="3"/>
      <c r="I194" s="8"/>
      <c r="N194" s="7"/>
      <c r="O194" s="8"/>
      <c r="P194" s="8"/>
      <c r="Q194" s="8"/>
      <c r="T194" s="7"/>
      <c r="U194" s="8"/>
      <c r="V194" s="8"/>
      <c r="W194" s="8"/>
      <c r="Z194" s="7"/>
      <c r="AA194" s="8"/>
      <c r="AB194" s="8"/>
      <c r="AC194" s="8"/>
      <c r="AF194" s="7"/>
      <c r="AG194" s="8"/>
      <c r="AH194" s="8"/>
      <c r="AI194" s="8"/>
      <c r="AL194" s="7"/>
      <c r="AM194" s="8"/>
      <c r="AN194" s="8"/>
      <c r="AO194" s="8"/>
    </row>
    <row r="195" spans="1:41" s="18" customFormat="1" x14ac:dyDescent="0.25">
      <c r="A195" s="7"/>
      <c r="B195" s="3" t="s">
        <v>209</v>
      </c>
      <c r="C195" s="9">
        <f>AeroConvKmToNm(D179)</f>
        <v>0.99999745140388774</v>
      </c>
      <c r="D195" s="8">
        <v>0.99999745140388774</v>
      </c>
      <c r="E195" s="10">
        <f t="shared" si="42"/>
        <v>0</v>
      </c>
      <c r="G195" s="7"/>
      <c r="H195" s="3"/>
      <c r="I195" s="8"/>
      <c r="N195" s="7"/>
      <c r="O195" s="8"/>
      <c r="P195" s="8"/>
      <c r="Q195" s="8"/>
      <c r="T195" s="7"/>
      <c r="U195" s="8"/>
      <c r="V195" s="8"/>
      <c r="W195" s="8"/>
      <c r="Z195" s="7"/>
      <c r="AA195" s="8"/>
      <c r="AB195" s="8"/>
      <c r="AC195" s="8"/>
      <c r="AF195" s="7"/>
      <c r="AG195" s="8"/>
      <c r="AH195" s="8"/>
      <c r="AI195" s="8"/>
      <c r="AL195" s="7"/>
      <c r="AM195" s="8"/>
      <c r="AN195" s="8"/>
      <c r="AO195" s="8"/>
    </row>
    <row r="196" spans="1:41" s="18" customFormat="1" x14ac:dyDescent="0.25">
      <c r="A196" s="7"/>
      <c r="B196" s="3" t="s">
        <v>210</v>
      </c>
      <c r="C196" s="9">
        <f>AeroConvKmToMile(D179)</f>
        <v>1.1507765151515152</v>
      </c>
      <c r="D196" s="8">
        <v>1.1507765151515152</v>
      </c>
      <c r="E196" s="10">
        <f t="shared" si="42"/>
        <v>0</v>
      </c>
      <c r="G196" s="7"/>
      <c r="H196" s="3"/>
      <c r="I196" s="8"/>
      <c r="N196" s="7"/>
      <c r="O196" s="8"/>
      <c r="P196" s="8"/>
      <c r="Q196" s="8"/>
      <c r="T196" s="7"/>
      <c r="U196" s="8"/>
      <c r="V196" s="8"/>
      <c r="W196" s="8"/>
      <c r="Z196" s="7"/>
      <c r="AA196" s="8"/>
      <c r="AB196" s="8"/>
      <c r="AC196" s="8"/>
      <c r="AF196" s="7"/>
      <c r="AG196" s="8"/>
      <c r="AH196" s="8"/>
      <c r="AI196" s="8"/>
      <c r="AL196" s="7"/>
      <c r="AM196" s="8"/>
      <c r="AN196" s="8"/>
      <c r="AO196" s="8"/>
    </row>
    <row r="197" spans="1:41" s="18" customFormat="1" x14ac:dyDescent="0.25">
      <c r="A197" s="7"/>
      <c r="B197" s="3" t="s">
        <v>211</v>
      </c>
      <c r="C197" s="9">
        <f>AeroConvKmToMeter(D179)</f>
        <v>1851.9952800000001</v>
      </c>
      <c r="D197" s="8">
        <v>1851.9952800000001</v>
      </c>
      <c r="E197" s="10">
        <f t="shared" si="42"/>
        <v>0</v>
      </c>
      <c r="G197" s="7"/>
      <c r="H197" s="3"/>
      <c r="I197" s="8"/>
      <c r="N197" s="7"/>
      <c r="O197" s="8"/>
      <c r="P197" s="8"/>
      <c r="Q197" s="8"/>
      <c r="T197" s="7"/>
      <c r="U197" s="8"/>
      <c r="V197" s="8"/>
      <c r="W197" s="8"/>
      <c r="Z197" s="7"/>
      <c r="AA197" s="8"/>
      <c r="AB197" s="8"/>
      <c r="AC197" s="8"/>
      <c r="AF197" s="7"/>
      <c r="AG197" s="8"/>
      <c r="AH197" s="8"/>
      <c r="AI197" s="8"/>
      <c r="AL197" s="7"/>
      <c r="AM197" s="8"/>
      <c r="AN197" s="8"/>
      <c r="AO197" s="8"/>
    </row>
    <row r="198" spans="1:41" x14ac:dyDescent="0.25">
      <c r="A198" s="7" t="s">
        <v>165</v>
      </c>
    </row>
    <row r="199" spans="1:41" x14ac:dyDescent="0.25">
      <c r="A199" s="6">
        <v>100</v>
      </c>
    </row>
    <row r="200" spans="1:41" x14ac:dyDescent="0.25">
      <c r="B200" s="3" t="s">
        <v>103</v>
      </c>
      <c r="C200" s="9">
        <f>AeroConvFtPerSecToKts(A199)</f>
        <v>59.248380129589592</v>
      </c>
      <c r="D200" s="8">
        <v>59.248380129589592</v>
      </c>
      <c r="E200" s="10">
        <f t="shared" ref="E200" si="43">(C200-D200)/D200*100</f>
        <v>0</v>
      </c>
    </row>
    <row r="201" spans="1:41" x14ac:dyDescent="0.25">
      <c r="B201" s="3" t="s">
        <v>186</v>
      </c>
      <c r="C201" s="9">
        <f>AeroConvFtPerSecToMeterPerSec(A199)</f>
        <v>30.48</v>
      </c>
      <c r="D201" s="8">
        <v>30.48</v>
      </c>
      <c r="E201" s="10">
        <f>(C201-D201)/D201*100</f>
        <v>0</v>
      </c>
    </row>
    <row r="202" spans="1:41" x14ac:dyDescent="0.25">
      <c r="B202" s="3" t="s">
        <v>176</v>
      </c>
      <c r="C202" s="9">
        <f>AeroConvFtPerSecToKmPerHr(A199)</f>
        <v>109.72799999999999</v>
      </c>
      <c r="D202" s="8">
        <v>109.72799999999999</v>
      </c>
      <c r="E202" s="10">
        <f t="shared" ref="E202:E219" si="44">(C202-D202)/D202*100</f>
        <v>0</v>
      </c>
    </row>
    <row r="203" spans="1:41" x14ac:dyDescent="0.25">
      <c r="B203" s="3" t="s">
        <v>192</v>
      </c>
      <c r="C203" s="9">
        <f>AeroConvFtPerSecToMilePerHr(A199)</f>
        <v>68.181818181818187</v>
      </c>
      <c r="D203" s="8">
        <v>68.181799999999996</v>
      </c>
      <c r="E203" s="10">
        <f t="shared" si="44"/>
        <v>2.6666673791928385E-5</v>
      </c>
    </row>
    <row r="204" spans="1:41" x14ac:dyDescent="0.25">
      <c r="B204" s="3" t="s">
        <v>104</v>
      </c>
      <c r="C204" s="9">
        <f>AeroConvKtsToFtPerSec(D200)</f>
        <v>100</v>
      </c>
      <c r="D204" s="8">
        <v>100</v>
      </c>
      <c r="E204" s="10">
        <f t="shared" si="44"/>
        <v>0</v>
      </c>
    </row>
    <row r="205" spans="1:41" x14ac:dyDescent="0.25">
      <c r="B205" s="3" t="s">
        <v>187</v>
      </c>
      <c r="C205" s="9">
        <f>AeroConvKtsToMeterPerSec(D200)</f>
        <v>30.48</v>
      </c>
      <c r="D205" s="8">
        <v>30.48</v>
      </c>
      <c r="E205" s="10">
        <f t="shared" si="44"/>
        <v>0</v>
      </c>
    </row>
    <row r="206" spans="1:41" x14ac:dyDescent="0.25">
      <c r="B206" s="3" t="s">
        <v>177</v>
      </c>
      <c r="C206" s="9">
        <f>AeroConvKtsToKmPerHr(D200)</f>
        <v>109.72799999999992</v>
      </c>
      <c r="D206" s="8">
        <v>109.72799999999999</v>
      </c>
      <c r="E206" s="10">
        <f t="shared" si="44"/>
        <v>-6.4754915405375128E-14</v>
      </c>
    </row>
    <row r="207" spans="1:41" x14ac:dyDescent="0.25">
      <c r="B207" s="3" t="s">
        <v>193</v>
      </c>
      <c r="C207" s="9">
        <f>AeroConvKtsToMilePerHr(D200)</f>
        <v>68.181818181818187</v>
      </c>
      <c r="D207" s="8">
        <v>68.181799999999996</v>
      </c>
      <c r="E207" s="10">
        <f t="shared" si="44"/>
        <v>2.6666673791928385E-5</v>
      </c>
    </row>
    <row r="208" spans="1:41" x14ac:dyDescent="0.25">
      <c r="B208" s="3" t="s">
        <v>189</v>
      </c>
      <c r="C208" s="9">
        <f>AeroConvMeterPerSecToFtPerSec(D201)</f>
        <v>100</v>
      </c>
      <c r="D208" s="8">
        <v>100</v>
      </c>
      <c r="E208" s="10">
        <f t="shared" si="44"/>
        <v>0</v>
      </c>
    </row>
    <row r="209" spans="1:5" x14ac:dyDescent="0.25">
      <c r="B209" s="3" t="s">
        <v>190</v>
      </c>
      <c r="C209" s="9">
        <f>AeroConvMeterPerSecToKts(D201)</f>
        <v>59.248380129589592</v>
      </c>
      <c r="D209" s="8">
        <v>59.248380129589592</v>
      </c>
      <c r="E209" s="10">
        <f t="shared" si="44"/>
        <v>0</v>
      </c>
    </row>
    <row r="210" spans="1:5" x14ac:dyDescent="0.25">
      <c r="B210" s="3" t="s">
        <v>188</v>
      </c>
      <c r="C210" s="9">
        <f>AeroConvMeterPerSecToKmPerHr(D201)</f>
        <v>109.72799999999999</v>
      </c>
      <c r="D210" s="8">
        <v>109.72799999999999</v>
      </c>
      <c r="E210" s="10">
        <f t="shared" si="44"/>
        <v>0</v>
      </c>
    </row>
    <row r="211" spans="1:5" x14ac:dyDescent="0.25">
      <c r="B211" s="3" t="s">
        <v>194</v>
      </c>
      <c r="C211" s="9">
        <f>AeroConvMeterPerSecToMilePerHr(D201)</f>
        <v>68.181818181818187</v>
      </c>
      <c r="D211" s="8">
        <v>68.181799999999996</v>
      </c>
      <c r="E211" s="10">
        <f t="shared" si="44"/>
        <v>2.6666673791928385E-5</v>
      </c>
    </row>
    <row r="212" spans="1:5" x14ac:dyDescent="0.25">
      <c r="B212" s="3" t="s">
        <v>195</v>
      </c>
      <c r="C212" s="9">
        <f>AeroConvMilePerHrToKts(D203)</f>
        <v>59.248364330021559</v>
      </c>
      <c r="D212" s="8">
        <v>59.248380129589592</v>
      </c>
      <c r="E212" s="10">
        <f t="shared" si="44"/>
        <v>-2.6666666663276238E-5</v>
      </c>
    </row>
    <row r="213" spans="1:5" x14ac:dyDescent="0.25">
      <c r="B213" s="3" t="s">
        <v>196</v>
      </c>
      <c r="C213" s="9">
        <f>AeroConvMilePerHrToMeterPerSec(D203)</f>
        <v>30.479991871999999</v>
      </c>
      <c r="D213" s="8">
        <v>30.48</v>
      </c>
      <c r="E213" s="10">
        <f t="shared" si="44"/>
        <v>-2.6666666670114341E-5</v>
      </c>
    </row>
    <row r="214" spans="1:5" x14ac:dyDescent="0.25">
      <c r="B214" s="3" t="s">
        <v>197</v>
      </c>
      <c r="C214" s="9">
        <f>AeroConvMilePerHrToKmPerHr(D203)</f>
        <v>109.7279707392</v>
      </c>
      <c r="D214" s="8">
        <v>109.72799999999999</v>
      </c>
      <c r="E214" s="10">
        <f t="shared" si="44"/>
        <v>-2.6666666658458453E-5</v>
      </c>
    </row>
    <row r="215" spans="1:5" x14ac:dyDescent="0.25">
      <c r="B215" s="3" t="s">
        <v>198</v>
      </c>
      <c r="C215" s="9">
        <f>AeroConvMilePerHrToFtPerSec(D203)</f>
        <v>99.99997333333333</v>
      </c>
      <c r="D215" s="8">
        <v>100</v>
      </c>
      <c r="E215" s="10">
        <f t="shared" si="44"/>
        <v>-2.6666666670394079E-5</v>
      </c>
    </row>
    <row r="216" spans="1:5" x14ac:dyDescent="0.25">
      <c r="B216" s="3" t="s">
        <v>178</v>
      </c>
      <c r="C216" s="9">
        <f>AeroConvKmPerHrToKts(D202)</f>
        <v>59.248380129589634</v>
      </c>
      <c r="D216" s="8">
        <v>59.248380129589592</v>
      </c>
      <c r="E216" s="10">
        <f t="shared" si="44"/>
        <v>7.1955661998452888E-14</v>
      </c>
    </row>
    <row r="217" spans="1:5" x14ac:dyDescent="0.25">
      <c r="B217" s="3" t="s">
        <v>191</v>
      </c>
      <c r="C217" s="9">
        <f>AeroConvKmPerHrToMeterPerSec(D202)</f>
        <v>30.48</v>
      </c>
      <c r="D217" s="8">
        <v>30.48</v>
      </c>
      <c r="E217" s="10">
        <f t="shared" si="44"/>
        <v>0</v>
      </c>
    </row>
    <row r="218" spans="1:5" x14ac:dyDescent="0.25">
      <c r="B218" s="3" t="s">
        <v>199</v>
      </c>
      <c r="C218" s="9">
        <f>AeroConvKmPerHrToMilePerHr(D202)</f>
        <v>68.181818181818187</v>
      </c>
      <c r="D218" s="8">
        <v>68.181799999999996</v>
      </c>
      <c r="E218" s="10">
        <f t="shared" si="44"/>
        <v>2.6666673791928385E-5</v>
      </c>
    </row>
    <row r="219" spans="1:5" x14ac:dyDescent="0.25">
      <c r="B219" s="3" t="s">
        <v>179</v>
      </c>
      <c r="C219" s="9">
        <f>AeroConvKmPerHrToFtPerSec(D202)</f>
        <v>100</v>
      </c>
      <c r="D219" s="8">
        <v>100</v>
      </c>
      <c r="E219" s="10">
        <f t="shared" si="44"/>
        <v>0</v>
      </c>
    </row>
    <row r="220" spans="1:5" x14ac:dyDescent="0.25">
      <c r="A220" s="7" t="s">
        <v>164</v>
      </c>
    </row>
    <row r="221" spans="1:5" x14ac:dyDescent="0.25">
      <c r="A221" s="6">
        <v>45</v>
      </c>
    </row>
    <row r="222" spans="1:5" x14ac:dyDescent="0.25">
      <c r="B222" s="3" t="s">
        <v>151</v>
      </c>
      <c r="C222" s="9">
        <f>AeroConvDegToRad(A221)</f>
        <v>0.78539816339744828</v>
      </c>
      <c r="D222" s="8">
        <v>0.78539816339744828</v>
      </c>
      <c r="E222" s="10">
        <f t="shared" ref="E222:E223" si="45">(C222-D222)/D222*100</f>
        <v>0</v>
      </c>
    </row>
    <row r="223" spans="1:5" x14ac:dyDescent="0.25">
      <c r="B223" s="3" t="s">
        <v>152</v>
      </c>
      <c r="C223" s="9">
        <f>AeroConvRadToDeg(D222)</f>
        <v>45</v>
      </c>
      <c r="D223" s="8">
        <v>45</v>
      </c>
      <c r="E223" s="10">
        <f t="shared" si="45"/>
        <v>0</v>
      </c>
    </row>
    <row r="224" spans="1:5" x14ac:dyDescent="0.25">
      <c r="A224" s="7" t="s">
        <v>110</v>
      </c>
    </row>
    <row r="225" spans="1:5" x14ac:dyDescent="0.25">
      <c r="A225" s="6">
        <v>27.614699999999999</v>
      </c>
    </row>
    <row r="226" spans="1:5" x14ac:dyDescent="0.25">
      <c r="B226" s="3" t="s">
        <v>114</v>
      </c>
      <c r="C226" s="9">
        <f>AeroConvHPaToInHg(A225)</f>
        <v>0.81546154325448139</v>
      </c>
      <c r="D226" s="8">
        <v>0.81546154325448139</v>
      </c>
      <c r="E226" s="10">
        <f t="shared" ref="E226:E237" si="46">(C226-D226)/D226*100</f>
        <v>0</v>
      </c>
    </row>
    <row r="227" spans="1:5" x14ac:dyDescent="0.25">
      <c r="B227" s="3" t="s">
        <v>115</v>
      </c>
      <c r="C227" s="9">
        <f>AeroConvHPaToLbfPerFt2(A225)</f>
        <v>57.674500071817093</v>
      </c>
      <c r="D227" s="8">
        <v>57.674500071817093</v>
      </c>
      <c r="E227" s="10">
        <f t="shared" si="46"/>
        <v>0</v>
      </c>
    </row>
    <row r="228" spans="1:5" x14ac:dyDescent="0.25">
      <c r="B228" s="3" t="s">
        <v>116</v>
      </c>
      <c r="C228" s="9">
        <f>AeroConvHPaToLbfPerInch2(A225)</f>
        <v>0.40051736160984092</v>
      </c>
      <c r="D228" s="8">
        <v>0.40051736160984092</v>
      </c>
      <c r="E228" s="10">
        <f>(C228-D228)/D228*100</f>
        <v>0</v>
      </c>
    </row>
    <row r="229" spans="1:5" x14ac:dyDescent="0.25">
      <c r="B229" s="3" t="s">
        <v>117</v>
      </c>
      <c r="C229" s="9">
        <f>AeroConvInHgToHPa(D226)</f>
        <v>27.614699999999999</v>
      </c>
      <c r="D229" s="8">
        <f>A225</f>
        <v>27.614699999999999</v>
      </c>
      <c r="E229" s="10">
        <f t="shared" si="46"/>
        <v>0</v>
      </c>
    </row>
    <row r="230" spans="1:5" x14ac:dyDescent="0.25">
      <c r="B230" s="3" t="s">
        <v>118</v>
      </c>
      <c r="C230" s="9">
        <f>AeroConvInHgToLbfPerFt2(D226)</f>
        <v>57.674500071817093</v>
      </c>
      <c r="D230" s="8">
        <v>57.674500071817093</v>
      </c>
      <c r="E230" s="10">
        <f t="shared" si="46"/>
        <v>0</v>
      </c>
    </row>
    <row r="231" spans="1:5" x14ac:dyDescent="0.25">
      <c r="B231" s="3" t="s">
        <v>119</v>
      </c>
      <c r="C231" s="9">
        <f>AeroConvInHgToLbfPerInch2(D226)</f>
        <v>0.40051736160984092</v>
      </c>
      <c r="D231" s="8">
        <v>0.40051736160984092</v>
      </c>
      <c r="E231" s="10">
        <f t="shared" si="46"/>
        <v>0</v>
      </c>
    </row>
    <row r="232" spans="1:5" x14ac:dyDescent="0.25">
      <c r="B232" s="3" t="s">
        <v>120</v>
      </c>
      <c r="C232" s="9">
        <f>AeroConvLbfPerFt2ToHPa(D230)</f>
        <v>27.614699999999999</v>
      </c>
      <c r="D232" s="8">
        <f>A225</f>
        <v>27.614699999999999</v>
      </c>
      <c r="E232" s="10">
        <f t="shared" si="46"/>
        <v>0</v>
      </c>
    </row>
    <row r="233" spans="1:5" x14ac:dyDescent="0.25">
      <c r="B233" s="3" t="s">
        <v>121</v>
      </c>
      <c r="C233" s="9">
        <f>AeroConvLbfPerFt2ToInHg(D230)</f>
        <v>0.81546154325448139</v>
      </c>
      <c r="D233" s="8">
        <v>0.81546154325448139</v>
      </c>
      <c r="E233" s="10">
        <f t="shared" si="46"/>
        <v>0</v>
      </c>
    </row>
    <row r="234" spans="1:5" x14ac:dyDescent="0.25">
      <c r="B234" s="3" t="s">
        <v>122</v>
      </c>
      <c r="C234" s="9">
        <f>AeroConvLbfPerFt2ToLbfPerInch2(D230)</f>
        <v>0.40051736160984092</v>
      </c>
      <c r="D234" s="8">
        <v>0.40051736160984092</v>
      </c>
      <c r="E234" s="10">
        <f t="shared" si="46"/>
        <v>0</v>
      </c>
    </row>
    <row r="235" spans="1:5" x14ac:dyDescent="0.25">
      <c r="B235" s="3" t="s">
        <v>123</v>
      </c>
      <c r="C235" s="9">
        <f>AeroConvLbfPerInch2ToHPa(D234)</f>
        <v>27.614699999999999</v>
      </c>
      <c r="D235" s="8">
        <f>A225</f>
        <v>27.614699999999999</v>
      </c>
      <c r="E235" s="10">
        <f t="shared" si="46"/>
        <v>0</v>
      </c>
    </row>
    <row r="236" spans="1:5" x14ac:dyDescent="0.25">
      <c r="B236" s="3" t="s">
        <v>124</v>
      </c>
      <c r="C236" s="9">
        <f>AeroConvLbfPerInch2ToInHg(D234)</f>
        <v>0.81546154325448139</v>
      </c>
      <c r="D236" s="8">
        <v>0.81546154325448139</v>
      </c>
      <c r="E236" s="10">
        <f t="shared" si="46"/>
        <v>0</v>
      </c>
    </row>
    <row r="237" spans="1:5" x14ac:dyDescent="0.25">
      <c r="B237" s="3" t="s">
        <v>125</v>
      </c>
      <c r="C237" s="9">
        <f>AeroConvLbfPerInch2ToLbfPerFt2(D234)</f>
        <v>57.674500071817093</v>
      </c>
      <c r="D237" s="8">
        <v>57.674500071817093</v>
      </c>
      <c r="E237" s="10">
        <f t="shared" si="46"/>
        <v>0</v>
      </c>
    </row>
    <row r="239" spans="1:5" x14ac:dyDescent="0.25">
      <c r="B239" s="3" t="s">
        <v>126</v>
      </c>
      <c r="C239" s="9">
        <f>AeroHp_ft_fPstaticHPa(A225)</f>
        <v>80000.036833259204</v>
      </c>
      <c r="D239" s="8">
        <v>80000.036833259204</v>
      </c>
      <c r="E239" s="10">
        <f t="shared" ref="E239:E246" si="47">(C239-D239)/D239*100</f>
        <v>0</v>
      </c>
    </row>
    <row r="240" spans="1:5" x14ac:dyDescent="0.25">
      <c r="B240" s="3" t="s">
        <v>127</v>
      </c>
      <c r="C240" s="9">
        <f>AeroHp_ft_fPstaticInHg(D226)</f>
        <v>80000.036833259204</v>
      </c>
      <c r="D240" s="8">
        <v>80000.036833259204</v>
      </c>
      <c r="E240" s="10">
        <f t="shared" si="47"/>
        <v>0</v>
      </c>
    </row>
    <row r="241" spans="1:5" x14ac:dyDescent="0.25">
      <c r="B241" s="3" t="s">
        <v>128</v>
      </c>
      <c r="C241" s="9">
        <f>AeroHp_ft_fPstaticLbPerFt2(D227)</f>
        <v>80000.036833259204</v>
      </c>
      <c r="D241" s="8">
        <v>80000.036833259204</v>
      </c>
      <c r="E241" s="10">
        <f t="shared" si="47"/>
        <v>0</v>
      </c>
    </row>
    <row r="242" spans="1:5" x14ac:dyDescent="0.25">
      <c r="B242" s="3" t="s">
        <v>129</v>
      </c>
      <c r="C242" s="9">
        <f>AeroHp_ft_fPstaticLbPerInch2(D228)</f>
        <v>80000.036833259204</v>
      </c>
      <c r="D242" s="8">
        <v>80000.036833259204</v>
      </c>
      <c r="E242" s="10">
        <f t="shared" si="47"/>
        <v>0</v>
      </c>
    </row>
    <row r="243" spans="1:5" x14ac:dyDescent="0.25">
      <c r="B243" s="3" t="s">
        <v>130</v>
      </c>
      <c r="C243" s="9">
        <f>AeroHp_ft_fQfeHPa(A225)</f>
        <v>80000.036833259204</v>
      </c>
      <c r="D243" s="8">
        <v>80000.036833259204</v>
      </c>
      <c r="E243" s="10">
        <f t="shared" si="47"/>
        <v>0</v>
      </c>
    </row>
    <row r="244" spans="1:5" x14ac:dyDescent="0.25">
      <c r="B244" s="3" t="s">
        <v>131</v>
      </c>
      <c r="C244" s="9">
        <f>AeroHp_ft_fQfeInHg(D226)</f>
        <v>80000.036833259204</v>
      </c>
      <c r="D244" s="8">
        <v>80000.036833259204</v>
      </c>
      <c r="E244" s="10">
        <f t="shared" si="47"/>
        <v>0</v>
      </c>
    </row>
    <row r="245" spans="1:5" x14ac:dyDescent="0.25">
      <c r="B245" s="3" t="s">
        <v>132</v>
      </c>
      <c r="C245" s="9">
        <f>AeroHp_ft_fQfeLbPerFt2(D227)</f>
        <v>80000.036833259204</v>
      </c>
      <c r="D245" s="8">
        <v>80000.036833259204</v>
      </c>
      <c r="E245" s="10">
        <f t="shared" si="47"/>
        <v>0</v>
      </c>
    </row>
    <row r="246" spans="1:5" x14ac:dyDescent="0.25">
      <c r="B246" s="3" t="s">
        <v>133</v>
      </c>
      <c r="C246" s="9">
        <f>AeroHp_ft_fQfeLbPerInch2(D228)</f>
        <v>80000.036833259204</v>
      </c>
      <c r="D246" s="8">
        <v>80000.036833259204</v>
      </c>
      <c r="E246" s="10">
        <f t="shared" si="47"/>
        <v>0</v>
      </c>
    </row>
    <row r="247" spans="1:5" x14ac:dyDescent="0.25">
      <c r="A247" s="7" t="s">
        <v>163</v>
      </c>
    </row>
    <row r="248" spans="1:5" x14ac:dyDescent="0.25">
      <c r="A248" s="6">
        <v>152</v>
      </c>
      <c r="B248" s="12" t="s">
        <v>102</v>
      </c>
      <c r="C248" s="16">
        <f>AeroConvGradFtPerNmToPct(A248)</f>
        <v>2.5015982721382288</v>
      </c>
      <c r="D248" s="8">
        <v>2.5015982721382288</v>
      </c>
      <c r="E248" s="10">
        <f t="shared" ref="E248:E253" si="48">(C248-D248)/D248*100</f>
        <v>0</v>
      </c>
    </row>
    <row r="249" spans="1:5" x14ac:dyDescent="0.25">
      <c r="B249" s="12" t="s">
        <v>76</v>
      </c>
      <c r="C249" s="16">
        <f>AeroConvGradPctToFtPerNm(D248)</f>
        <v>152</v>
      </c>
      <c r="D249" s="8">
        <f>A248</f>
        <v>152</v>
      </c>
      <c r="E249" s="10">
        <f t="shared" si="48"/>
        <v>0</v>
      </c>
    </row>
    <row r="250" spans="1:5" x14ac:dyDescent="0.25">
      <c r="B250" s="12" t="s">
        <v>77</v>
      </c>
      <c r="C250" s="16">
        <f>AeroConvGradPctToDeg(D248)</f>
        <v>1.4330113542979013</v>
      </c>
      <c r="D250" s="8">
        <v>1.4330113542979013</v>
      </c>
      <c r="E250" s="10">
        <f t="shared" si="48"/>
        <v>0</v>
      </c>
    </row>
    <row r="251" spans="1:5" x14ac:dyDescent="0.25">
      <c r="B251" s="12" t="s">
        <v>78</v>
      </c>
      <c r="C251" s="16">
        <f>AeroConvGradDegToPct(D250)</f>
        <v>2.5015982721382288</v>
      </c>
      <c r="D251" s="8">
        <v>2.5015982721382288</v>
      </c>
      <c r="E251" s="10">
        <f t="shared" si="48"/>
        <v>0</v>
      </c>
    </row>
    <row r="252" spans="1:5" x14ac:dyDescent="0.25">
      <c r="B252" s="12" t="s">
        <v>79</v>
      </c>
      <c r="C252" s="16">
        <f>AeroConvGradFtPerNmToDeg(A248)</f>
        <v>1.4330113542979013</v>
      </c>
      <c r="D252" s="8">
        <v>1.4330113542979013</v>
      </c>
      <c r="E252" s="10">
        <f t="shared" si="48"/>
        <v>0</v>
      </c>
    </row>
    <row r="253" spans="1:5" x14ac:dyDescent="0.25">
      <c r="B253" s="12" t="s">
        <v>80</v>
      </c>
      <c r="C253" s="16">
        <f>AeroConvGradDegToFtPerNm(D250)</f>
        <v>151.99999999999997</v>
      </c>
      <c r="D253" s="8">
        <f>A248</f>
        <v>152</v>
      </c>
      <c r="E253" s="10">
        <f t="shared" si="48"/>
        <v>-1.8698493046318424E-14</v>
      </c>
    </row>
    <row r="254" spans="1:5" x14ac:dyDescent="0.25">
      <c r="A254" s="7" t="s">
        <v>167</v>
      </c>
    </row>
    <row r="255" spans="1:5" x14ac:dyDescent="0.25">
      <c r="A255" s="6">
        <f>[1]!AeroRhoStdDay_SlugPerft3_fHp(0)</f>
        <v>2.37689240667515E-3</v>
      </c>
    </row>
    <row r="256" spans="1:5" x14ac:dyDescent="0.25">
      <c r="B256" s="3" t="s">
        <v>169</v>
      </c>
      <c r="C256" s="9">
        <f>AeroConvSlugPerFt3ToKgPerMeter3(A255)</f>
        <v>1.2249999999999988</v>
      </c>
      <c r="D256" s="8">
        <v>1.2249999999999988</v>
      </c>
      <c r="E256" s="10">
        <f t="shared" ref="E256:E257" si="49">(C256-D256)/D256*100</f>
        <v>0</v>
      </c>
    </row>
    <row r="257" spans="2:5" x14ac:dyDescent="0.25">
      <c r="B257" s="3" t="s">
        <v>168</v>
      </c>
      <c r="C257" s="9">
        <f>AeroConvKgPerMeter3ToSlugPerFt3(D256)</f>
        <v>2.37689240667515E-3</v>
      </c>
      <c r="D257" s="8">
        <f>A255</f>
        <v>2.37689240667515E-3</v>
      </c>
      <c r="E257" s="10">
        <f t="shared" si="49"/>
        <v>0</v>
      </c>
    </row>
  </sheetData>
  <mergeCells count="7">
    <mergeCell ref="B6:C6"/>
    <mergeCell ref="AF6:AG6"/>
    <mergeCell ref="AL6:AM6"/>
    <mergeCell ref="H6:I6"/>
    <mergeCell ref="N6:O6"/>
    <mergeCell ref="T6:U6"/>
    <mergeCell ref="Z6:AA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SampleTest</vt:lpstr>
      <vt:lpstr>hp</vt:lpstr>
      <vt:lpstr>isaDevC</vt:lpstr>
      <vt:lpstr>isaDevF</vt:lpstr>
      <vt:lpstr>KCAS</vt:lpstr>
      <vt:lpstr>KEAS</vt:lpstr>
      <vt:lpstr>KTAS</vt:lpstr>
      <vt:lpstr>lengthFeet</vt:lpstr>
      <vt:lpstr>Mach</vt:lpstr>
      <vt:lpstr>oatC</vt:lpstr>
      <vt:lpstr>oatF</vt:lpstr>
      <vt:lpstr>oatK</vt:lpstr>
      <vt:lpstr>oatR</vt:lpstr>
      <vt:lpstr>QcPSF</vt:lpstr>
      <vt:lpstr>QPSF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Bays</dc:creator>
  <cp:lastModifiedBy>Lance Bays</cp:lastModifiedBy>
  <dcterms:created xsi:type="dcterms:W3CDTF">2013-12-24T19:27:49Z</dcterms:created>
  <dcterms:modified xsi:type="dcterms:W3CDTF">2019-04-15T08:09:12Z</dcterms:modified>
</cp:coreProperties>
</file>