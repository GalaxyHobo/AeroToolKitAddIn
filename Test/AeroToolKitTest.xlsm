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fs272\AeroProgs\StdAtmoAddIn\AeroToolKitAddIn\Test\"/>
    </mc:Choice>
  </mc:AlternateContent>
  <xr:revisionPtr revIDLastSave="0" documentId="13_ncr:1_{4DC4CEAC-2949-4F09-BF18-F1FCB1401F8F}" xr6:coauthVersionLast="43" xr6:coauthVersionMax="43" xr10:uidLastSave="{00000000-0000-0000-0000-000000000000}"/>
  <bookViews>
    <workbookView xWindow="28680" yWindow="-120" windowWidth="29040" windowHeight="15525" xr2:uid="{00000000-000D-0000-FFFF-FFFF00000000}"/>
  </bookViews>
  <sheets>
    <sheet name="SampleTest" sheetId="1" r:id="rId1"/>
  </sheets>
  <functionGroups builtInGroupCount="19"/>
  <externalReferences>
    <externalReference r:id="rId2"/>
  </externalReferences>
  <definedNames>
    <definedName name="hp">SampleTest!$A$7</definedName>
    <definedName name="isaDevC">SampleTest!$AE$7</definedName>
    <definedName name="isaDevF">SampleTest!$AK$7</definedName>
    <definedName name="KCAS">SampleTest!$A$48</definedName>
    <definedName name="KEAS">SampleTest!$A$56</definedName>
    <definedName name="KTAS">SampleTest!$A$64</definedName>
    <definedName name="lengthFeet">SampleTest!$A$179</definedName>
    <definedName name="Mach">SampleTest!$A$71</definedName>
    <definedName name="oat">SampleTest!#REF!</definedName>
    <definedName name="oatC">SampleTest!$M$7</definedName>
    <definedName name="oatF">SampleTest!$Y$7</definedName>
    <definedName name="oatK">SampleTest!$G$7</definedName>
    <definedName name="oatR">SampleTest!$S$7</definedName>
    <definedName name="QcPSF">SampleTest!$A$87</definedName>
    <definedName name="QPSF">SampleTest!$A$79</definedName>
  </definedNames>
  <calcPr calcId="191029"/>
</workbook>
</file>

<file path=xl/calcChain.xml><?xml version="1.0" encoding="utf-8"?>
<calcChain xmlns="http://schemas.openxmlformats.org/spreadsheetml/2006/main">
  <c r="C160" i="1" l="1"/>
  <c r="C159" i="1"/>
  <c r="C158" i="1"/>
  <c r="C157" i="1"/>
  <c r="C156" i="1"/>
  <c r="C155" i="1"/>
  <c r="C154" i="1"/>
  <c r="A151" i="1"/>
  <c r="I61" i="1"/>
  <c r="I60" i="1"/>
  <c r="I53" i="1"/>
  <c r="I52" i="1"/>
  <c r="I75" i="1"/>
  <c r="I83" i="1"/>
  <c r="G7" i="1"/>
  <c r="C162" i="1"/>
  <c r="C163" i="1"/>
  <c r="C164" i="1"/>
  <c r="C165" i="1"/>
  <c r="D233" i="1" l="1"/>
  <c r="D230" i="1"/>
  <c r="D236" i="1"/>
  <c r="D255" i="1"/>
  <c r="D251" i="1"/>
  <c r="I7" i="1"/>
  <c r="C245" i="1"/>
  <c r="U174" i="1"/>
  <c r="AM15" i="1"/>
  <c r="C21" i="1"/>
  <c r="C212" i="1"/>
  <c r="I92" i="1"/>
  <c r="AG7" i="1"/>
  <c r="C37" i="1"/>
  <c r="C196" i="1"/>
  <c r="C88" i="1"/>
  <c r="AG8" i="1"/>
  <c r="C11" i="1"/>
  <c r="C243" i="1"/>
  <c r="I175" i="1"/>
  <c r="C53" i="1"/>
  <c r="C220" i="1"/>
  <c r="C134" i="1"/>
  <c r="C56" i="1"/>
  <c r="C189" i="1"/>
  <c r="C82" i="1"/>
  <c r="AM12" i="1"/>
  <c r="C34" i="1"/>
  <c r="C232" i="1"/>
  <c r="C174" i="1"/>
  <c r="AG14" i="1"/>
  <c r="C17" i="1"/>
  <c r="C246" i="1"/>
  <c r="U175" i="1"/>
  <c r="I25" i="1"/>
  <c r="I16" i="1"/>
  <c r="C28" i="1"/>
  <c r="C228" i="1"/>
  <c r="C102" i="1"/>
  <c r="AG24" i="1"/>
  <c r="C10" i="1"/>
  <c r="C208" i="1"/>
  <c r="C89" i="1"/>
  <c r="C8" i="1"/>
  <c r="C187" i="1"/>
  <c r="C74" i="1"/>
  <c r="C144" i="1"/>
  <c r="C235" i="1"/>
  <c r="AM102" i="1"/>
  <c r="AM10" i="1"/>
  <c r="C217" i="1"/>
  <c r="C52" i="1"/>
  <c r="O24" i="1"/>
  <c r="C22" i="1"/>
  <c r="C195" i="1"/>
  <c r="C71" i="1"/>
  <c r="AM8" i="1"/>
  <c r="C24" i="1"/>
  <c r="C238" i="1"/>
  <c r="A257" i="1"/>
  <c r="C233" i="1"/>
  <c r="I15" i="1"/>
  <c r="I12" i="1"/>
  <c r="C60" i="1"/>
  <c r="AM9" i="1"/>
  <c r="I174" i="1"/>
  <c r="C32" i="1"/>
  <c r="I17" i="1"/>
  <c r="C225" i="1"/>
  <c r="AG12" i="1"/>
  <c r="C57" i="1"/>
  <c r="AA174" i="1"/>
  <c r="C192" i="1"/>
  <c r="C239" i="1"/>
  <c r="I72" i="1"/>
  <c r="AG10" i="1"/>
  <c r="C197" i="1"/>
  <c r="C75" i="1"/>
  <c r="C252" i="1"/>
  <c r="C182" i="1"/>
  <c r="C68" i="1"/>
  <c r="AM24" i="1"/>
  <c r="C218" i="1"/>
  <c r="I76" i="1"/>
  <c r="C205" i="1"/>
  <c r="AM16" i="1"/>
  <c r="O9" i="1"/>
  <c r="C248" i="1"/>
  <c r="AA175" i="1"/>
  <c r="AG15" i="1"/>
  <c r="C13" i="1"/>
  <c r="C219" i="1"/>
  <c r="C114" i="1"/>
  <c r="C237" i="1"/>
  <c r="C96" i="1"/>
  <c r="I21" i="1"/>
  <c r="I48" i="1"/>
  <c r="C229" i="1"/>
  <c r="AM14" i="1"/>
  <c r="Y7" i="1"/>
  <c r="I57" i="1"/>
  <c r="O12" i="1"/>
  <c r="C15" i="1"/>
  <c r="C254" i="1"/>
  <c r="AG16" i="1"/>
  <c r="C20" i="1"/>
  <c r="C23" i="1"/>
  <c r="AA13" i="1"/>
  <c r="I56" i="1"/>
  <c r="C213" i="1"/>
  <c r="C90" i="1"/>
  <c r="O17" i="1"/>
  <c r="C26" i="1"/>
  <c r="C185" i="1"/>
  <c r="O21" i="1"/>
  <c r="C241" i="1"/>
  <c r="O174" i="1"/>
  <c r="C58" i="1"/>
  <c r="O20" i="1"/>
  <c r="AG13" i="1"/>
  <c r="C216" i="1"/>
  <c r="O25" i="1"/>
  <c r="C190" i="1"/>
  <c r="I90" i="1"/>
  <c r="AM7" i="1"/>
  <c r="C35" i="1"/>
  <c r="C231" i="1"/>
  <c r="C175" i="1"/>
  <c r="AA68" i="1"/>
  <c r="AA25" i="1"/>
  <c r="C7" i="1"/>
  <c r="C214" i="1"/>
  <c r="C64" i="1"/>
  <c r="AG25" i="1"/>
  <c r="C210" i="1"/>
  <c r="C121" i="1"/>
  <c r="C61" i="1"/>
  <c r="I82" i="1"/>
  <c r="AM65" i="1"/>
  <c r="C95" i="1"/>
  <c r="I65" i="1"/>
  <c r="I79" i="1"/>
  <c r="C259" i="1"/>
  <c r="I80" i="1"/>
  <c r="C67" i="1"/>
  <c r="C215" i="1"/>
  <c r="C193" i="1"/>
  <c r="C184" i="1"/>
  <c r="I24" i="1"/>
  <c r="S7" i="1"/>
  <c r="C107" i="1"/>
  <c r="U7" i="1"/>
  <c r="C251" i="1"/>
  <c r="C66" i="1"/>
  <c r="C51" i="1"/>
  <c r="AM68" i="1"/>
  <c r="I66" i="1"/>
  <c r="C209" i="1"/>
  <c r="C79" i="1"/>
  <c r="C41" i="1"/>
  <c r="C253" i="1"/>
  <c r="C183" i="1"/>
  <c r="C59" i="1"/>
  <c r="O15" i="1"/>
  <c r="C230" i="1"/>
  <c r="C118" i="1"/>
  <c r="C119" i="1" s="1"/>
  <c r="I49" i="1"/>
  <c r="O14" i="1"/>
  <c r="U24" i="1"/>
  <c r="C203" i="1"/>
  <c r="C87" i="1"/>
  <c r="C18" i="1"/>
  <c r="C194" i="1"/>
  <c r="C83" i="1"/>
  <c r="AG17" i="1"/>
  <c r="C25" i="1"/>
  <c r="C236" i="1"/>
  <c r="C133" i="1"/>
  <c r="O68" i="1"/>
  <c r="AA9" i="1"/>
  <c r="C202" i="1"/>
  <c r="I74" i="1"/>
  <c r="O16" i="1"/>
  <c r="AA8" i="1"/>
  <c r="C207" i="1"/>
  <c r="O102" i="1"/>
  <c r="C49" i="1"/>
  <c r="C120" i="1"/>
  <c r="AG68" i="1"/>
  <c r="O65" i="1"/>
  <c r="I71" i="1"/>
  <c r="I87" i="1"/>
  <c r="I13" i="1"/>
  <c r="C14" i="1"/>
  <c r="C27" i="1"/>
  <c r="C244" i="1"/>
  <c r="C9" i="1"/>
  <c r="C31" i="1"/>
  <c r="AM13" i="1"/>
  <c r="U17" i="1"/>
  <c r="U68" i="1"/>
  <c r="C48" i="1"/>
  <c r="I91" i="1"/>
  <c r="C234" i="1"/>
  <c r="C204" i="1"/>
  <c r="C247" i="1"/>
  <c r="AG20" i="1"/>
  <c r="C80" i="1"/>
  <c r="AM66" i="1"/>
  <c r="C258" i="1"/>
  <c r="C198" i="1"/>
  <c r="C19" i="1"/>
  <c r="C242" i="1"/>
  <c r="O175" i="1"/>
  <c r="AM20" i="1"/>
  <c r="C40" i="1"/>
  <c r="C224" i="1"/>
  <c r="AG102" i="1"/>
  <c r="AM25" i="1"/>
  <c r="C38" i="1"/>
  <c r="O8" i="1"/>
  <c r="C191" i="1"/>
  <c r="C73" i="1"/>
  <c r="C250" i="1"/>
  <c r="AG174" i="1"/>
  <c r="C72" i="1"/>
  <c r="AA20" i="1"/>
  <c r="C16" i="1"/>
  <c r="C221" i="1"/>
  <c r="AA102" i="1"/>
  <c r="C65" i="1"/>
  <c r="U16" i="1"/>
  <c r="AM17" i="1"/>
  <c r="C188" i="1"/>
  <c r="I88" i="1"/>
  <c r="C50" i="1"/>
  <c r="C44" i="1"/>
  <c r="O13" i="1"/>
  <c r="C199" i="1"/>
  <c r="I81" i="1"/>
  <c r="AG9" i="1"/>
  <c r="AA17" i="1"/>
  <c r="I68" i="1"/>
  <c r="AA65" i="1"/>
  <c r="I14" i="1"/>
  <c r="I8" i="1"/>
  <c r="I9" i="1"/>
  <c r="C180" i="1"/>
  <c r="C211" i="1"/>
  <c r="C186" i="1"/>
  <c r="AA14" i="1"/>
  <c r="I84" i="1"/>
  <c r="C81" i="1"/>
  <c r="C91" i="1"/>
  <c r="I20" i="1"/>
  <c r="C181" i="1"/>
  <c r="C206" i="1"/>
  <c r="AG175" i="1"/>
  <c r="U12" i="1"/>
  <c r="O7" i="1"/>
  <c r="C255" i="1"/>
  <c r="C43" i="1"/>
  <c r="I102" i="1"/>
  <c r="I51" i="1"/>
  <c r="AA7" i="1"/>
  <c r="AA15" i="1"/>
  <c r="I59" i="1"/>
  <c r="AA16" i="1"/>
  <c r="AA24" i="1"/>
  <c r="AA21" i="1"/>
  <c r="AA12" i="1"/>
  <c r="U67" i="1"/>
  <c r="I67" i="1"/>
  <c r="AA66" i="1"/>
  <c r="O66" i="1"/>
  <c r="O67" i="1"/>
  <c r="AG66" i="1"/>
  <c r="AM64" i="1"/>
  <c r="AA64" i="1"/>
  <c r="AG67" i="1"/>
  <c r="AG64" i="1"/>
  <c r="AA67" i="1"/>
  <c r="O64" i="1"/>
  <c r="U64" i="1"/>
  <c r="AM67" i="1"/>
  <c r="AG65" i="1"/>
  <c r="U65" i="1"/>
  <c r="U13" i="1"/>
  <c r="I89" i="1"/>
  <c r="I58" i="1"/>
  <c r="I73" i="1"/>
  <c r="U66" i="1"/>
  <c r="U21" i="1"/>
  <c r="U9" i="1"/>
  <c r="U14" i="1"/>
  <c r="I50" i="1"/>
  <c r="U15" i="1"/>
  <c r="U102" i="1"/>
  <c r="U25" i="1"/>
  <c r="U20" i="1"/>
  <c r="U8" i="1"/>
  <c r="C97" i="1"/>
  <c r="C98" i="1"/>
  <c r="E155" i="1" l="1"/>
  <c r="E157" i="1"/>
  <c r="E196" i="1"/>
  <c r="E197" i="1"/>
  <c r="E198" i="1"/>
  <c r="E199" i="1"/>
  <c r="E191" i="1"/>
  <c r="E190" i="1"/>
  <c r="E188" i="1"/>
  <c r="E189" i="1"/>
  <c r="AC102" i="1"/>
  <c r="Q102" i="1"/>
  <c r="E174" i="1"/>
  <c r="AC174" i="1"/>
  <c r="AI174" i="1"/>
  <c r="AI175" i="1"/>
  <c r="AC175" i="1"/>
  <c r="E175" i="1"/>
  <c r="K16" i="1"/>
  <c r="Q175" i="1"/>
  <c r="K174" i="1"/>
  <c r="W174" i="1"/>
  <c r="Q174" i="1"/>
  <c r="W175" i="1"/>
  <c r="K175" i="1"/>
  <c r="E185" i="1"/>
  <c r="E187" i="1"/>
  <c r="E195" i="1"/>
  <c r="E193" i="1"/>
  <c r="E218" i="1"/>
  <c r="E220" i="1"/>
  <c r="E221" i="1"/>
  <c r="E219" i="1"/>
  <c r="E216" i="1"/>
  <c r="E194" i="1"/>
  <c r="E183" i="1"/>
  <c r="E212" i="1"/>
  <c r="E181" i="1"/>
  <c r="E209" i="1"/>
  <c r="E213" i="1"/>
  <c r="E217" i="1"/>
  <c r="E207" i="1"/>
  <c r="E210" i="1"/>
  <c r="E205" i="1"/>
  <c r="E204" i="1"/>
  <c r="E203" i="1"/>
  <c r="E180" i="1"/>
  <c r="E208" i="1"/>
  <c r="E206" i="1"/>
  <c r="E215" i="1"/>
  <c r="E238" i="1"/>
  <c r="D259" i="1"/>
  <c r="E43" i="1"/>
  <c r="E44" i="1"/>
  <c r="E253" i="1"/>
  <c r="E232" i="1"/>
  <c r="E231" i="1"/>
  <c r="E233" i="1"/>
  <c r="E120" i="1"/>
  <c r="E230" i="1"/>
  <c r="E252" i="1"/>
  <c r="E246" i="1"/>
  <c r="AO67" i="1"/>
  <c r="AI66" i="1"/>
  <c r="W65" i="1"/>
  <c r="AC64" i="1"/>
  <c r="W68" i="1"/>
  <c r="K66" i="1"/>
  <c r="Q66" i="1"/>
  <c r="K68" i="1"/>
  <c r="Q68" i="1"/>
  <c r="AI64" i="1"/>
  <c r="W64" i="1"/>
  <c r="AO68" i="1"/>
  <c r="AI67" i="1"/>
  <c r="W66" i="1"/>
  <c r="AC65" i="1"/>
  <c r="AC67" i="1"/>
  <c r="AC68" i="1"/>
  <c r="AO64" i="1"/>
  <c r="AO65" i="1"/>
  <c r="Q9" i="1"/>
  <c r="AC14" i="1"/>
  <c r="AO17" i="1"/>
  <c r="Q24" i="1"/>
  <c r="W21" i="1"/>
  <c r="AI65" i="1"/>
  <c r="K72" i="1"/>
  <c r="W102" i="1"/>
  <c r="E228" i="1"/>
  <c r="Q7" i="1"/>
  <c r="W14" i="1"/>
  <c r="AO15" i="1"/>
  <c r="K24" i="1"/>
  <c r="AI20" i="1"/>
  <c r="K51" i="1"/>
  <c r="K60" i="1"/>
  <c r="K76" i="1"/>
  <c r="AI102" i="1"/>
  <c r="E118" i="1"/>
  <c r="Q67" i="1"/>
  <c r="AI10" i="1"/>
  <c r="Q13" i="1"/>
  <c r="AC12" i="1"/>
  <c r="AO25" i="1"/>
  <c r="K50" i="1"/>
  <c r="K67" i="1"/>
  <c r="K80" i="1"/>
  <c r="E154" i="1"/>
  <c r="W12" i="1"/>
  <c r="Q65" i="1"/>
  <c r="K74" i="1"/>
  <c r="K84" i="1"/>
  <c r="E234" i="1"/>
  <c r="E250" i="1"/>
  <c r="AI8" i="1"/>
  <c r="AO7" i="1"/>
  <c r="Q15" i="1"/>
  <c r="K17" i="1"/>
  <c r="AC13" i="1"/>
  <c r="W16" i="1"/>
  <c r="AI12" i="1"/>
  <c r="AO16" i="1"/>
  <c r="Q21" i="1"/>
  <c r="K49" i="1"/>
  <c r="K52" i="1"/>
  <c r="K59" i="1"/>
  <c r="Q64" i="1"/>
  <c r="K65" i="1"/>
  <c r="AC66" i="1"/>
  <c r="W67" i="1"/>
  <c r="AI68" i="1"/>
  <c r="K79" i="1"/>
  <c r="E235" i="1"/>
  <c r="E243" i="1"/>
  <c r="E114" i="1"/>
  <c r="AI15" i="1"/>
  <c r="K25" i="1"/>
  <c r="AO66" i="1"/>
  <c r="K75" i="1"/>
  <c r="E239" i="1"/>
  <c r="E254" i="1"/>
  <c r="E159" i="1"/>
  <c r="W20" i="1"/>
  <c r="K57" i="1"/>
  <c r="E237" i="1"/>
  <c r="K7" i="1"/>
  <c r="AO14" i="1"/>
  <c r="Q16" i="1"/>
  <c r="AC24" i="1"/>
  <c r="AI25" i="1"/>
  <c r="K71" i="1"/>
  <c r="K90" i="1"/>
  <c r="AI24" i="1"/>
  <c r="K61" i="1"/>
  <c r="AO10" i="1"/>
  <c r="K13" i="1"/>
  <c r="AI16" i="1"/>
  <c r="K89" i="1"/>
  <c r="E244" i="1"/>
  <c r="AO8" i="1"/>
  <c r="AC17" i="1"/>
  <c r="AO12" i="1"/>
  <c r="Q20" i="1"/>
  <c r="K21" i="1"/>
  <c r="K73" i="1"/>
  <c r="K88" i="1"/>
  <c r="K91" i="1"/>
  <c r="K102" i="1"/>
  <c r="E224" i="1"/>
  <c r="E133" i="1"/>
  <c r="K8" i="1"/>
  <c r="W15" i="1"/>
  <c r="AC20" i="1"/>
  <c r="K87" i="1"/>
  <c r="E202" i="1"/>
  <c r="E245" i="1"/>
  <c r="K9" i="1"/>
  <c r="AI14" i="1"/>
  <c r="Q12" i="1"/>
  <c r="AC25" i="1"/>
  <c r="K81" i="1"/>
  <c r="AI9" i="1"/>
  <c r="K12" i="1"/>
  <c r="W25" i="1"/>
  <c r="AO20" i="1"/>
  <c r="AO102" i="1"/>
  <c r="E107" i="1"/>
  <c r="AC8" i="1"/>
  <c r="AO9" i="1"/>
  <c r="W24" i="1"/>
  <c r="K56" i="1"/>
  <c r="K83" i="1"/>
  <c r="AI7" i="1"/>
  <c r="Q17" i="1"/>
  <c r="AC16" i="1"/>
  <c r="AO24" i="1"/>
  <c r="Q14" i="1"/>
  <c r="K15" i="1"/>
  <c r="W13" i="1"/>
  <c r="AI13" i="1"/>
  <c r="Q8" i="1"/>
  <c r="K14" i="1"/>
  <c r="AC15" i="1"/>
  <c r="W17" i="1"/>
  <c r="AI17" i="1"/>
  <c r="AO13" i="1"/>
  <c r="Q25" i="1"/>
  <c r="K20" i="1"/>
  <c r="AC21" i="1"/>
  <c r="K48" i="1"/>
  <c r="K53" i="1"/>
  <c r="K58" i="1"/>
  <c r="K82" i="1"/>
  <c r="K92" i="1"/>
  <c r="E134" i="1"/>
  <c r="E182" i="1"/>
  <c r="E144" i="1"/>
  <c r="E34" i="1"/>
  <c r="E35" i="1"/>
  <c r="E38" i="1"/>
  <c r="E32" i="1"/>
  <c r="E40" i="1"/>
  <c r="E31" i="1"/>
  <c r="E37" i="1"/>
  <c r="E41" i="1"/>
  <c r="W8" i="1"/>
  <c r="W9" i="1"/>
  <c r="W7" i="1"/>
  <c r="AC9" i="1"/>
  <c r="AC7" i="1"/>
  <c r="E14" i="1"/>
  <c r="I64" i="1"/>
  <c r="C108" i="1"/>
  <c r="C135" i="1"/>
  <c r="C122" i="1"/>
  <c r="C115" i="1"/>
  <c r="C29" i="1"/>
  <c r="C145" i="1"/>
  <c r="K64" i="1" l="1"/>
  <c r="E242" i="1"/>
  <c r="E229" i="1"/>
  <c r="E186" i="1"/>
  <c r="E248" i="1"/>
  <c r="E184" i="1"/>
  <c r="E211" i="1"/>
  <c r="E115" i="1"/>
  <c r="E23" i="1"/>
  <c r="E192" i="1"/>
  <c r="E214" i="1"/>
  <c r="E247" i="1"/>
  <c r="E255" i="1"/>
  <c r="E108" i="1"/>
  <c r="E236" i="1"/>
  <c r="E121" i="1"/>
  <c r="E251" i="1"/>
  <c r="E119" i="1"/>
  <c r="E164" i="1"/>
  <c r="E165" i="1"/>
  <c r="E163" i="1"/>
  <c r="E162" i="1"/>
  <c r="E156" i="1"/>
  <c r="E160" i="1"/>
  <c r="E135" i="1"/>
  <c r="E225" i="1"/>
  <c r="E258" i="1"/>
  <c r="E145" i="1"/>
  <c r="E158" i="1"/>
  <c r="E241" i="1"/>
  <c r="E122" i="1"/>
  <c r="A110" i="1"/>
  <c r="C117" i="1"/>
  <c r="C113" i="1"/>
  <c r="E259" i="1" l="1"/>
  <c r="E117" i="1"/>
  <c r="E113" i="1"/>
  <c r="E27" i="1"/>
  <c r="E96" i="1"/>
  <c r="E95" i="1"/>
  <c r="E29" i="1"/>
  <c r="E98" i="1"/>
  <c r="E97" i="1"/>
  <c r="E11" i="1"/>
  <c r="E66" i="1"/>
  <c r="E22" i="1"/>
  <c r="E18" i="1"/>
  <c r="E56" i="1"/>
  <c r="E26" i="1"/>
  <c r="E90" i="1"/>
  <c r="E17" i="1"/>
  <c r="E24" i="1"/>
  <c r="E51" i="1"/>
  <c r="E57" i="1"/>
  <c r="E28" i="1"/>
  <c r="E102" i="1"/>
  <c r="E75" i="1"/>
  <c r="E83" i="1"/>
  <c r="E71" i="1"/>
  <c r="E53" i="1"/>
  <c r="E13" i="1"/>
  <c r="E16" i="1"/>
  <c r="E58" i="1"/>
  <c r="E74" i="1"/>
  <c r="E73" i="1"/>
  <c r="E80" i="1"/>
  <c r="E61" i="1"/>
  <c r="E91" i="1"/>
  <c r="E9" i="1"/>
  <c r="E72" i="1"/>
  <c r="E25" i="1"/>
  <c r="E48" i="1"/>
  <c r="E68" i="1"/>
  <c r="E79" i="1"/>
  <c r="E87" i="1"/>
  <c r="E19" i="1"/>
  <c r="E59" i="1"/>
  <c r="E10" i="1"/>
  <c r="E15" i="1"/>
  <c r="E64" i="1"/>
  <c r="E49" i="1"/>
  <c r="E67" i="1"/>
  <c r="E20" i="1"/>
  <c r="E81" i="1"/>
  <c r="E88" i="1"/>
  <c r="E60" i="1"/>
  <c r="E8" i="1"/>
  <c r="E65" i="1"/>
  <c r="E50" i="1"/>
  <c r="E52" i="1"/>
  <c r="E21" i="1"/>
  <c r="E82" i="1"/>
  <c r="E89" i="1"/>
  <c r="E7" i="1"/>
  <c r="C116" i="1"/>
  <c r="E116" i="1" l="1"/>
</calcChain>
</file>

<file path=xl/sharedStrings.xml><?xml version="1.0" encoding="utf-8"?>
<sst xmlns="http://schemas.openxmlformats.org/spreadsheetml/2006/main" count="416" uniqueCount="217">
  <si>
    <t>delta</t>
  </si>
  <si>
    <t>Pstatic-inHg</t>
  </si>
  <si>
    <t>Pstatic-psf</t>
  </si>
  <si>
    <t>Pstatic-psi</t>
  </si>
  <si>
    <t>Kelvin</t>
  </si>
  <si>
    <t>Fahrenheit</t>
  </si>
  <si>
    <t>Rankine</t>
  </si>
  <si>
    <t>theta</t>
  </si>
  <si>
    <t>theta std</t>
  </si>
  <si>
    <t>sigma std</t>
  </si>
  <si>
    <t>sigma</t>
  </si>
  <si>
    <t>Tstd-°C</t>
  </si>
  <si>
    <t>Tstd-°K</t>
  </si>
  <si>
    <t>Tstd-°F</t>
  </si>
  <si>
    <t>Tstd-°R</t>
  </si>
  <si>
    <t>OAT-°C</t>
  </si>
  <si>
    <t>Functions of OAT °C</t>
  </si>
  <si>
    <t>OAT-°F</t>
  </si>
  <si>
    <t>Functions of OAT °F</t>
  </si>
  <si>
    <t>a-knots</t>
  </si>
  <si>
    <t>a-ft/sec</t>
  </si>
  <si>
    <t>aStd-knots</t>
  </si>
  <si>
    <t>aStd-ft/sec</t>
  </si>
  <si>
    <t>Hp-feet</t>
  </si>
  <si>
    <t xml:space="preserve"> </t>
  </si>
  <si>
    <t>aStd-km/hr</t>
  </si>
  <si>
    <t>aStd-m/sec</t>
  </si>
  <si>
    <t>a-m/sec</t>
  </si>
  <si>
    <t>a-km/hr</t>
  </si>
  <si>
    <t>KCAS</t>
  </si>
  <si>
    <t>Mach</t>
  </si>
  <si>
    <t>KEAS</t>
  </si>
  <si>
    <t>KTAS std</t>
  </si>
  <si>
    <t>KTAS</t>
  </si>
  <si>
    <t>Re/ft</t>
  </si>
  <si>
    <t>q-PSF</t>
  </si>
  <si>
    <t>qc-PSF</t>
  </si>
  <si>
    <t>tapeline-ft</t>
  </si>
  <si>
    <t>geoptl-ft</t>
  </si>
  <si>
    <t>tapeline-m</t>
  </si>
  <si>
    <t>geoptl-m</t>
  </si>
  <si>
    <t>Comp Corn KCAS-KEAS</t>
  </si>
  <si>
    <t>OAT-K</t>
  </si>
  <si>
    <t>Functions of OAT K</t>
  </si>
  <si>
    <t>Functions of R</t>
  </si>
  <si>
    <t>OAT-R</t>
  </si>
  <si>
    <t>ISA dev-°C</t>
  </si>
  <si>
    <t>Functions of ISA dev-°C</t>
  </si>
  <si>
    <t>Celsius</t>
  </si>
  <si>
    <t>ISA dev-°F</t>
  </si>
  <si>
    <t>Functions of ISA dev-°F</t>
  </si>
  <si>
    <t>KEAS=fKTAS</t>
  </si>
  <si>
    <t>Mach=fKTAS</t>
  </si>
  <si>
    <t>KCAS=fKTAS</t>
  </si>
  <si>
    <t>q-PSF=fKTAS</t>
  </si>
  <si>
    <t>qc-PSF=fKTAS</t>
  </si>
  <si>
    <t>and:</t>
  </si>
  <si>
    <t>KTAS=fKEAS</t>
  </si>
  <si>
    <t>KTAS=fKCAS</t>
  </si>
  <si>
    <t>KTAS=fMach</t>
  </si>
  <si>
    <t>STD</t>
  </si>
  <si>
    <t>rhoSTD-slug/ft^3</t>
  </si>
  <si>
    <t>rho-slug/ft^3</t>
  </si>
  <si>
    <t>Q</t>
  </si>
  <si>
    <t>KTAS=fQ</t>
  </si>
  <si>
    <t>KTAS=fQc</t>
  </si>
  <si>
    <t>Qc</t>
  </si>
  <si>
    <t>Dyn Viscosity - N-s/m2</t>
  </si>
  <si>
    <t>Dyn Viscosity - slug/(ft-s)</t>
  </si>
  <si>
    <t>Kin Visosity - m2/sec</t>
  </si>
  <si>
    <t>Kin Visosity - ft2/sec</t>
  </si>
  <si>
    <t>FtToNm(ft)</t>
  </si>
  <si>
    <t>NmToFt(nm)</t>
  </si>
  <si>
    <t>GradPctToFtPerNm(pct)</t>
  </si>
  <si>
    <t>GradPctToDeg(pct)</t>
  </si>
  <si>
    <t>GradDegToPct(deg)</t>
  </si>
  <si>
    <t>GradFtPerNmToDeg(ftPerNm)</t>
  </si>
  <si>
    <t>GradDegToFtPerNm(deg)</t>
  </si>
  <si>
    <t>ft/nm</t>
  </si>
  <si>
    <t>bank-deg</t>
  </si>
  <si>
    <t>TurnNz_fBankDeg</t>
  </si>
  <si>
    <t>Radius_ft_fNzKtas(nz, KTAS)</t>
  </si>
  <si>
    <t>Radius_ft_fBankDegKtas(bankDeg, KTAS)</t>
  </si>
  <si>
    <t>Nz_fRadiusFtKtas(radius, KTAS)</t>
  </si>
  <si>
    <t>Bank_deg_fRadiusKtas(radius, KTAS)</t>
  </si>
  <si>
    <t>Rate_degPerSec_fNzKtas(nz, KTAS)</t>
  </si>
  <si>
    <t>Rate_degPerSec_fBankDegKtas(bankDeg, KTAS)</t>
  </si>
  <si>
    <t>Nz_fTurnRateDegPerSecKtas(turnRateDegPerSec, KTAS)</t>
  </si>
  <si>
    <t>Bank_deg_fTurnRateDegPerSecKtas(turnRateDegPerSec, KTAS)</t>
  </si>
  <si>
    <t>Rate_degPerSec_fRadiusFtKtas(radius, KTAS)</t>
  </si>
  <si>
    <t>Radius_ft_fTurnRateDegPerSecKtas(turnRateDegPerSec, KTAS)</t>
  </si>
  <si>
    <t>nz</t>
  </si>
  <si>
    <t>ktas</t>
  </si>
  <si>
    <t>TurnBank_deg_fNz</t>
  </si>
  <si>
    <t>hp-ft</t>
  </si>
  <si>
    <t>isaDev-C</t>
  </si>
  <si>
    <t>Roc_HpFtPerMin_fHpIsaDevCGradFtPerNmKtas</t>
  </si>
  <si>
    <t>Roc_HpFtPerMin_fHpIsaDevCGradFtPerNmKcas</t>
  </si>
  <si>
    <t>Equivalent KCAS (needed to test R/C function of KCAS)</t>
  </si>
  <si>
    <t>GradFtPerNmToPct(ftPerNm)</t>
  </si>
  <si>
    <t>FtPerSecToKts(ftPerSec)</t>
  </si>
  <si>
    <t>KtsToFtPerSec(kts)</t>
  </si>
  <si>
    <t>(under 11 km)</t>
  </si>
  <si>
    <t>Lower Strat Hp- ft (11-20km)</t>
  </si>
  <si>
    <t>Inver Layer 1 Hp- ft (20-32km)</t>
  </si>
  <si>
    <t>Inver Layer 2 Hp- ft (32-47km)</t>
  </si>
  <si>
    <t xml:space="preserve">Stratopause </t>
  </si>
  <si>
    <t>Pressure- hPa</t>
  </si>
  <si>
    <t>Aircraft Heading (deg)</t>
  </si>
  <si>
    <t>Wind Heading (deg)</t>
  </si>
  <si>
    <t xml:space="preserve">Wind Speed </t>
  </si>
  <si>
    <t>ConvHPaToInHg(hPa)</t>
  </si>
  <si>
    <t>ConvHPaToLbfPerFt2(hPa)</t>
  </si>
  <si>
    <t>ConvHPaToLbfPerInch2(hPa)</t>
  </si>
  <si>
    <t>ConvInHgToHPa(inHg)</t>
  </si>
  <si>
    <t>ConvInHgToLbfPerFt2(inHg)</t>
  </si>
  <si>
    <t>ConvInHgToLbfPerInch2(inHg)</t>
  </si>
  <si>
    <t>ConvLbfPerFt2ToHPa(lbfPerFt2)</t>
  </si>
  <si>
    <t>ConvLbfPerFt2ToInHg(lbfPerFt2)</t>
  </si>
  <si>
    <t>ConvLbfPerFt2ToLbfPerInch2(lbfPerFt2)</t>
  </si>
  <si>
    <t>ConvLbfPerInch2ToHPa(lbfPerInch2)</t>
  </si>
  <si>
    <t>ConvLbfPerInch2ToInHg(lbfPerInch2)</t>
  </si>
  <si>
    <t>ConvLbfPerInch2ToLbfPerFt2(lbfPerInch2)</t>
  </si>
  <si>
    <t>Hp_ft_fPstaticHPa(pstaticHPa)</t>
  </si>
  <si>
    <t>Hp_ft_fPstaticInHg(pstaticInHg)</t>
  </si>
  <si>
    <t>Hp_ft_fPstaticLbPerFt2(pstaticLbPerFt2)</t>
  </si>
  <si>
    <t>Hp_ft_fPstaticLbPerInch2(pstaticLbPerInch2)</t>
  </si>
  <si>
    <t>Hp_ft_fQfeHPa(qfeHPa)</t>
  </si>
  <si>
    <t>Hp_ft_fQfeInHg(qfeInHg)</t>
  </si>
  <si>
    <t>Hp_ft_fQfeLbPerFt2(qfeLbPerFt2)</t>
  </si>
  <si>
    <t>Hp_ft_fQfeLbPerInch2(qfeLbPerInch2)</t>
  </si>
  <si>
    <t>rhoSTD-kg/m^3</t>
  </si>
  <si>
    <t>QNH-hPa</t>
  </si>
  <si>
    <t>Geopotential Alt-ft</t>
  </si>
  <si>
    <t>IsaDev-C</t>
  </si>
  <si>
    <t>Base Hp - ft</t>
  </si>
  <si>
    <t>dHp-ft</t>
  </si>
  <si>
    <t>Hp_fQnhHPaGeoPtlAlt(qnh, geoPtlAlt)</t>
  </si>
  <si>
    <t>Hp_fQnhInHgGeoPtlAlt(qnh, geoPtlAlt)</t>
  </si>
  <si>
    <t>Hp_fQnhLbfPerFt2GeoPtlAlt(qnh, geoPtlAlt)</t>
  </si>
  <si>
    <t>Hp_fQnhLbfPerInch2GeoPtlAlt(qnh, geoPtlAlt)</t>
  </si>
  <si>
    <t>Qnh_hPa_fHpGeoPtlAlt(hp, geoPtlAlt)</t>
  </si>
  <si>
    <t>Qnh_inHg_fHpGeoPtlAlt(hp, geoPtlAlt)</t>
  </si>
  <si>
    <t>Qnh_lbPerFt2_fHpGeoPtlAlt(hp, geoPtlAlt)</t>
  </si>
  <si>
    <t>Qnh_lbPerInch2_fHpGeoPtlAlt(hp, geoPtlAlt)</t>
  </si>
  <si>
    <t>DGeoPtlAlt_fDHpIsaDevCBaseHp(dHp, isaDevC, baseHp)</t>
  </si>
  <si>
    <t>DHp_fDGeoPtlAltIsaDevCBaseHp(dGeoPtlAlt, isaDevC, baseHp)</t>
  </si>
  <si>
    <t>QNH-inHg</t>
  </si>
  <si>
    <t>DegToRad</t>
  </si>
  <si>
    <t>RadToDeg</t>
  </si>
  <si>
    <t>TURNS</t>
  </si>
  <si>
    <t>CONVERSIONS</t>
  </si>
  <si>
    <t>RATE OF CLIMB FOR GRADIENT</t>
  </si>
  <si>
    <t xml:space="preserve">RUNWAY WIND COMPONENTS </t>
  </si>
  <si>
    <t>QNH &amp; PRESSURE ALTITUDE</t>
  </si>
  <si>
    <t>INCREMENTAL CHANGE IN PRESSURE &amp; GEOPOTENTIAL ALTITUDE</t>
  </si>
  <si>
    <t>PROPERTIES OF STANDARD ATMOSPHERE</t>
  </si>
  <si>
    <t>AIRSPEED, MACH, DYNAMIC PRESSURE AND COMPRESSIBLE Q</t>
  </si>
  <si>
    <t>DYNAMIC AND KINEMATIC VISCOSITY</t>
  </si>
  <si>
    <t>REYNOLDS NUMBER</t>
  </si>
  <si>
    <t>Gradient-ft/nm</t>
  </si>
  <si>
    <t>Angle-degrees</t>
  </si>
  <si>
    <t>Speed-ftPerSec</t>
  </si>
  <si>
    <t>Length-feet</t>
  </si>
  <si>
    <t>Density-slug/ft^3</t>
  </si>
  <si>
    <t>SlugPerFt3ToKgPerM3</t>
  </si>
  <si>
    <t>O/B</t>
  </si>
  <si>
    <t>WndHead_fAcHdgWndHdgWndSpd(acHdgDeg, wndHdgDeg, wndSpd)</t>
  </si>
  <si>
    <t>WndCross_fAcHdgWndHdgWndSpd(acHdgDeg, wndHdgDeg, wndSpd)</t>
  </si>
  <si>
    <t>Functions are organized by type. Values in grey result from calls to the AeroToolKit functions. Values in white are expected results for the functions. Values in yellow are the % error between the computed toolkit values and the expected values.</t>
  </si>
  <si>
    <t xml:space="preserve">If making changes to the add-in, use this sheet for regression testing. </t>
  </si>
  <si>
    <t>FtPerSecToKmPerHr(ftPerSec)</t>
  </si>
  <si>
    <t>KtsToKmPerHr(kts)</t>
  </si>
  <si>
    <t>KmPerHrToKts(kmPerHr)</t>
  </si>
  <si>
    <t>KmPerHrToFtPerSec(kmPerHr)</t>
  </si>
  <si>
    <t>FtToKm(ft)</t>
  </si>
  <si>
    <t>FtToMile(ft)</t>
  </si>
  <si>
    <t>NmToKm(nm)</t>
  </si>
  <si>
    <t>NmToMile(nm)</t>
  </si>
  <si>
    <t>NmToMeter(nm)</t>
  </si>
  <si>
    <t>FtToMeter(ft)</t>
  </si>
  <si>
    <t>FtPerSecToMeterPerSec(ftPerSec)</t>
  </si>
  <si>
    <t>KtsToMeterPerSec(kts)</t>
  </si>
  <si>
    <t>MeterPerSecToKmPerHr(mPerSec)</t>
  </si>
  <si>
    <t>MeterPerSecToFtPerSec(mPerSec)</t>
  </si>
  <si>
    <t>MeterPerSecToKts(mPerSec)</t>
  </si>
  <si>
    <t>KmPerHrToMeterPerSec(kmPerHr)</t>
  </si>
  <si>
    <t>FtPerSecToMilePerHr(ftPerSec)</t>
  </si>
  <si>
    <t>KtsToMilePerHr(kts)</t>
  </si>
  <si>
    <t>MeterPerSecToMilePerHr(mPerSec)</t>
  </si>
  <si>
    <t>MilePerHrToKts(MilePerHr)</t>
  </si>
  <si>
    <t>MilePerHrToMeterPerSec(MilePerHr)</t>
  </si>
  <si>
    <t>MilePerHrToKmPerHr(MilePerHr)</t>
  </si>
  <si>
    <t>MilePerHrToFtPerSec(MilePerHr)</t>
  </si>
  <si>
    <t>KmPerHrToMilePerHr(kmPerHr)</t>
  </si>
  <si>
    <t>MeterToFt(meter)</t>
  </si>
  <si>
    <t>MeterToNm(meter)</t>
  </si>
  <si>
    <t>MeterToKm(meter)</t>
  </si>
  <si>
    <t>MeterToMile(meter)</t>
  </si>
  <si>
    <t>ConvMileToFt(mile)</t>
  </si>
  <si>
    <t>ConvMileToNm(mile)</t>
  </si>
  <si>
    <t>ConvMileToMeter(mile)</t>
  </si>
  <si>
    <t>ConvMileToKm(mile)</t>
  </si>
  <si>
    <t>ConvKmToFt(km)</t>
  </si>
  <si>
    <t>ConvKmToNm(km)</t>
  </si>
  <si>
    <t>ConvKmToMile(km)</t>
  </si>
  <si>
    <t>ConvKmToMeter(km)</t>
  </si>
  <si>
    <t>aStd-mile/hr</t>
  </si>
  <si>
    <t>a-mile/hr</t>
  </si>
  <si>
    <t>OAT-K and:</t>
  </si>
  <si>
    <t>OAT-°C and:</t>
  </si>
  <si>
    <t>OAT-R and:</t>
  </si>
  <si>
    <t>OAT-°F and:</t>
  </si>
  <si>
    <t>ISA dev-°C and:</t>
  </si>
  <si>
    <t>ISA dev-°F and:</t>
  </si>
  <si>
    <t xml:space="preserve">This sheet exercises the functions in the AeroToolKit Add-In across a range of input conditions, creating comprehensive code coverage (though less than 100%, as some branches of defensive code are seemingly inaccesible).  </t>
  </si>
  <si>
    <t>Pstatic-hPa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</si>
</sst>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0" fontId="4" fillId="2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/>
    <xf numFmtId="0" fontId="0" fillId="0" borderId="0" xfId="0" applyBorder="1" applyAlignment="1">
      <alignment horizontal="right"/>
    </xf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272/AeroProgs/StdAtmoAddIn/AeroToolKitAddIn/AeroToolKi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AeroCompCorrnKCASminusKEAS_fHpKCAS"/>
      <definedName name="AeroCompCorrnKCASminusKEAS_fHpKEAS"/>
      <definedName name="AeroConvCelsiusToFahrenheit"/>
      <definedName name="AeroConvCelsiusToKelvin"/>
      <definedName name="AeroConvCelsiustoRankine"/>
      <definedName name="AeroConvDegToRad"/>
      <definedName name="AeroConvFahrenheitToCelsius"/>
      <definedName name="AeroConvFahrenheitToKelvin"/>
      <definedName name="AeroConvFahrenheitToRankine"/>
      <definedName name="AeroConvFtPerSecToKmPerHr"/>
      <definedName name="AeroConvFtPerSecToKts"/>
      <definedName name="AeroConvFtPerSecToMeterPerSec"/>
      <definedName name="AeroConvFtPerSecToMilePerHr"/>
      <definedName name="AeroConvFtToKm"/>
      <definedName name="AeroConvFtToMeter"/>
      <definedName name="AeroConvFtToMile"/>
      <definedName name="AeroConvFtToNm"/>
      <definedName name="AeroConvGradDegToFtPerNm"/>
      <definedName name="AeroConvGradDegToPct"/>
      <definedName name="AeroConvGradFtPerNmToDeg"/>
      <definedName name="AeroConvGradFtPerNmToPct"/>
      <definedName name="AeroConvGradPctToDeg"/>
      <definedName name="AeroConvGradPctToFtPerNm"/>
      <definedName name="AeroConvHPaToInHg"/>
      <definedName name="AeroConvHPaToLbfPerFt2"/>
      <definedName name="AeroConvHPaToLbfPerInch2"/>
      <definedName name="AeroConvInHgToHPa"/>
      <definedName name="AeroConvInHgToLbfPerFt2"/>
      <definedName name="AeroConvInHgToLbfPerInch2"/>
      <definedName name="AeroConvKelvinToFahrenheit"/>
      <definedName name="AeroConvKelvinToRankine"/>
      <definedName name="AeroConvKgPerMeter3ToSlugPerFt3"/>
      <definedName name="AeroConvKmPerHrToFtPerSec"/>
      <definedName name="AeroConvKmPerHrToKts"/>
      <definedName name="AeroConvKmPerHrToMeterPerSec"/>
      <definedName name="AeroConvKmPerHrToMilePerHr"/>
      <definedName name="AeroConvKmToFt"/>
      <definedName name="AeroConvKmToMeter"/>
      <definedName name="AeroConvKmToMile"/>
      <definedName name="AeroConvKmToNm"/>
      <definedName name="AeroConvKtsToFtPerSec"/>
      <definedName name="AeroConvKtsToKmPerHr"/>
      <definedName name="AeroConvKtsToMeterPerSec"/>
      <definedName name="AeroConvKtsToMilePerHr"/>
      <definedName name="AeroConvLbfPerFt2ToHPa"/>
      <definedName name="AeroConvLbfPerFt2ToInHg"/>
      <definedName name="AeroConvLbfPerFt2ToLbfPerInch2"/>
      <definedName name="AeroConvLbfPerInch2ToHPa"/>
      <definedName name="AeroConvLbfPerInch2ToInHg"/>
      <definedName name="AeroConvLbfPerInch2ToLbfPerFt2"/>
      <definedName name="AeroConvMeterPerSecToFtPerSec"/>
      <definedName name="AeroConvMeterPerSecToKmPerHr"/>
      <definedName name="AeroConvMeterPerSecToKts"/>
      <definedName name="AeroConvMeterPerSecToMilePerHr"/>
      <definedName name="AeroConvMeterToFt"/>
      <definedName name="AeroConvMeterToKm"/>
      <definedName name="AeroConvMeterToMile"/>
      <definedName name="AeroConvMeterToNm"/>
      <definedName name="AeroConvMilePerHrToFtPerSec"/>
      <definedName name="AeroConvMilePerHrToKmPerHr"/>
      <definedName name="AeroConvMilePerHrToKts"/>
      <definedName name="AeroConvMilePerHrToMeterPerSec"/>
      <definedName name="AeroConvMileToFt"/>
      <definedName name="AeroConvMileToKm"/>
      <definedName name="AeroConvMileToMeter"/>
      <definedName name="AeroConvMileToNm"/>
      <definedName name="AeroConvNmToFt"/>
      <definedName name="AeroConvNmToKm"/>
      <definedName name="AeroConvNmToMeter"/>
      <definedName name="AeroConvNmToMile"/>
      <definedName name="AeroConvRadToDeg"/>
      <definedName name="AeroConvRankineToCelsius"/>
      <definedName name="AeroConvRankineToFahrenheit"/>
      <definedName name="AeroConvRankineToKelvin"/>
      <definedName name="AeroConvSlugPerFt3ToKgPerMeter3"/>
      <definedName name="AeroDelta_fHp"/>
      <definedName name="AeroDGeoPtlAlt_fDHpIsaDevCBaseHp"/>
      <definedName name="AeroDHp_fDGeoPtlAltIsaDevCBaseHp"/>
      <definedName name="AeroGeoptlAlt_ft_fTapeAlt"/>
      <definedName name="AeroGeoptlAlt_meter_fTapeAlt"/>
      <definedName name="AeroHp_ft_fPstaticHPa"/>
      <definedName name="AeroHp_ft_fPstaticInHg"/>
      <definedName name="AeroHp_ft_fPstaticLbPerFt2"/>
      <definedName name="AeroHp_ft_fPstaticLbPerInch2"/>
      <definedName name="AeroHp_ft_fQfeHPa"/>
      <definedName name="AeroHp_ft_fQfeInHg"/>
      <definedName name="AeroHp_ft_fQfeLbPerFt2"/>
      <definedName name="AeroHp_ft_fQfeLbPerInch2"/>
      <definedName name="AeroISAdev_Celsius_fISAdevFahrenheit"/>
      <definedName name="AeroISAdev_Celsius_fOATCelsiusHp"/>
      <definedName name="AeroISAdev_Celsius_fOATFahrenheitHp"/>
      <definedName name="AeroISAdev_Celsius_fOATKelvinHp"/>
      <definedName name="AeroISAdev_Celsius_fOATRankineHp"/>
      <definedName name="AeroISAdev_Fahrenheit_fISAdevCelsius"/>
      <definedName name="AeroISAdev_Fahrenheit_fOATCelsiusHp"/>
      <definedName name="AeroISAdev_Fahrenheit_fOATFahrenheitHp"/>
      <definedName name="AeroISAdev_Fahrenheit_fOATKelvinHp"/>
      <definedName name="AeroISAdev_Fahrenheit_fOATRankineHp"/>
      <definedName name="AeroKCAS_fHpKEAS"/>
      <definedName name="AeroKCAS_fHpKTASISAdevCelsius"/>
      <definedName name="AeroKCAS_fHpKTASISAdevFahrenheit"/>
      <definedName name="AeroKcas_fHpKtasOatCelsius"/>
      <definedName name="AeroKCAS_fHpKTASOATFahrenheit"/>
      <definedName name="AeroKCAS_fHpKTASOATKelvin"/>
      <definedName name="AeroKCAS_fHpKTASOATrANKINE"/>
      <definedName name="AeroKCAS_fHpMach"/>
      <definedName name="AeroKCAS_fHpQ"/>
      <definedName name="AeroKCAS_fQc"/>
      <definedName name="AeroKCASStdDay_fHpKTAS"/>
      <definedName name="AeroKEAS_fHpKCAS"/>
      <definedName name="AeroKEAS_fHpKTASISAdevCelsius"/>
      <definedName name="AeroKEAS_fHpKTASISAdevFahrenheit"/>
      <definedName name="AeroKEAS_fHpKTASOATCelsius"/>
      <definedName name="AeroKEAS_fHpKTASOATFahrenheit"/>
      <definedName name="AeroKEAS_fHpKTASOATKelvin"/>
      <definedName name="AeroKEAS_fHpKTASOATRankine"/>
      <definedName name="AeroKEAS_fHpMach"/>
      <definedName name="AeroKEAS_fHPQc"/>
      <definedName name="AeroKEAS_fQ"/>
      <definedName name="AeroKEASStdDay_fHpKTAS"/>
      <definedName name="AeroKTAS_fHpKCASOATCelsius"/>
      <definedName name="AeroKTAS_fHpKCASOATFahrenheit"/>
      <definedName name="AeroKTAS_fHpKCASOATKelvin"/>
      <definedName name="AeroKTAS_fHpKCASOATRankine"/>
      <definedName name="AeroKTAS_fHpKEASOATCelsius"/>
      <definedName name="AeroKTAS_fHpKEASOATFahrenheit"/>
      <definedName name="AeroKTAS_fHpKEASOATKelvin"/>
      <definedName name="AeroKTAS_fHpKEASOATRankine"/>
      <definedName name="AeroKTAS_fHpQcISAdevCelsius"/>
      <definedName name="AeroKTAS_fHpQcISAdevFahrenheit"/>
      <definedName name="AeroKTAS_fHpQcOATCelsius"/>
      <definedName name="AeroKTAS_fHpQcOATFahrenheit"/>
      <definedName name="AeroKTAS_fHpQcOATKelvin"/>
      <definedName name="AeroKTAS_fHpQcOATRankine"/>
      <definedName name="AeroKTAS_fHpQISAdevFahrenheit"/>
      <definedName name="AeroKTAS_fHpQOATCelsius"/>
      <definedName name="AeroKTAS_fHpQOATFahrenheit"/>
      <definedName name="AeroKTAS_fHpQOATKelvin"/>
      <definedName name="AeroKTAS_fHpQOATRankine"/>
      <definedName name="AeroKTAS_fMachHpISAdevFahrenheit"/>
      <definedName name="AeroKTAS_fMachOATCelsius"/>
      <definedName name="AeroKTAS_fMachOATFahrenheit"/>
      <definedName name="AeroKTAS_fMachOATKelvin"/>
      <definedName name="AeroKTAS_fMachOATRankine"/>
      <definedName name="AeroKTASStdDay_fHpKCAS"/>
      <definedName name="AeroKTASStdDay_fHpKEAS"/>
      <definedName name="AeroKTASStdDay_fHpMach"/>
      <definedName name="AeroKtasStdDay_fHpQ"/>
      <definedName name="AeroKTASStdDay_fHpQc"/>
      <definedName name="AeroMach_fHpKCAS"/>
      <definedName name="AeroMach_fHpKEAS"/>
      <definedName name="AeroMach_fHpKtasIsaDevCelsius"/>
      <definedName name="AeroMach_fHpKTASISAdevFahrenheit"/>
      <definedName name="AeroMach_fHpQ"/>
      <definedName name="AeroMach_fHpQc"/>
      <definedName name="AeroMach_fKtasOatCelsius"/>
      <definedName name="AeroMach_fKTASOATFahrenheit"/>
      <definedName name="AeroMach_fKTASOATKelvin"/>
      <definedName name="AeroMach_fKTASOATRankine"/>
      <definedName name="AeroMachStdDay_fHpKTAS"/>
      <definedName name="AeroOAT_Celsius_fISAdevCelsiusHp"/>
      <definedName name="AeroOAT_Celsius_fISAdevFahrenheitHp"/>
      <definedName name="AeroOAT_Fahrenheit_fISAdevCelsiusHp"/>
      <definedName name="AeroOAT_Fahrenheit_fISAdevFahrenheitHp"/>
      <definedName name="AeroOAT_Kelvin_fISAdevCelsiusHp"/>
      <definedName name="AeroOAT_Kelvin_fISAdevFahrenheitHp"/>
      <definedName name="AeroOAT_Rankine_fISAdevCelsiusHp"/>
      <definedName name="AeroOAT_Rankine_fISAdevFahrenheitHp"/>
      <definedName name="AeroOatStdDay_Celsius_fHp"/>
      <definedName name="AeroOatStdDay_Fahrenheit_fHp"/>
      <definedName name="AeroOatStdDay_Kelvin_fHp"/>
      <definedName name="AeroOatStdDay_Rankine_fHp"/>
      <definedName name="AeroPstatic_hPa_fHp"/>
      <definedName name="AeroPstatic_inHg_fHp"/>
      <definedName name="AeroPstatic_lbfPerFt2_fHp"/>
      <definedName name="AeroPstatic_lbfPerInch2_fHp"/>
      <definedName name="AeroQ_lbfPerFt2_fHpKCAS"/>
      <definedName name="AeroQ_lbfPerFt2_fHpKTASISAdevCelsius"/>
      <definedName name="AeroQ_lbfPerFt2_fHpKTASISAdevFahrenheit"/>
      <definedName name="AeroQ_lbfPerFt2_fHpKTASOATCelsius"/>
      <definedName name="AeroQ_lbfPerFt2_fHpKTASOATFahrenheit"/>
      <definedName name="AeroQ_lbfPerFt2_fHpKTASOATKelvin"/>
      <definedName name="AeroQ_lbfPerFt2_fHpKTASOATRankine"/>
      <definedName name="AeroQ_lbfPerFt2_fHpMach"/>
      <definedName name="AeroQ_lbfPerFt2_fHpQc"/>
      <definedName name="AeroQ_lbfPerFt2_fKEAS"/>
      <definedName name="AeroQc_lbfPerFt2_fHpKEAS"/>
      <definedName name="AeroQc_lbfPerFt2_fHpKTASISAdevCelsius"/>
      <definedName name="AeroQc_lbfPerFt2_fHpKTASISAdevFahrenheit"/>
      <definedName name="AeroQc_lbfPerFt2_fHpKTASOATCelsius"/>
      <definedName name="AeroQc_lbfPerFt2_fHpKTASOATFahrenheit"/>
      <definedName name="AeroQc_lbfPerFt2_fHpKTASOATKelvin"/>
      <definedName name="AeroQc_lbfPerFt2_fHpKTASOATRankine"/>
      <definedName name="AeroQc_lbfPerFt2_fHpMach"/>
      <definedName name="AeroQC_lbfPerFt2_fHpQ"/>
      <definedName name="AeroQc_lbfPerFt2_fKCAS"/>
      <definedName name="AeroQcStdDay_lbfPerFt2_fHpKTAS"/>
      <definedName name="AeroQStdDay_lbfPerFt2_fHpKTAS"/>
      <definedName name="AeroRePerFt_fHpMachISAdevCelsius"/>
      <definedName name="AeroRePerFt_fHpMachISAdevFahrenheit"/>
      <definedName name="AeroRePerFt_fHpMachOATCelsius"/>
      <definedName name="AeroRePerFt_fHpMachOATFahrenheit"/>
      <definedName name="AeroRePerFt_fHpMachOATKelvin"/>
      <definedName name="AeroRePerFt_fHpMachOATRankine"/>
      <definedName name="AeroRePerFtStdDay_fHpMach"/>
      <definedName name="AeroRho_SlugPerFt3_fHpISAdevCelsius"/>
      <definedName name="AeroRho_SlugPerFt3_fHpISAdevFahrenheit"/>
      <definedName name="AeroRho_SlugPerFt3_fHpOATCelsius"/>
      <definedName name="AeroRho_SlugPerFt3_fHpOATFahrenheit"/>
      <definedName name="AeroRho_SlugPerFt3_fHpOATKelvin"/>
      <definedName name="AeroRho_SlugPerFt3_fHpOATRankine"/>
      <definedName name="AeroRhoStdDay_SlugPerft3_fHp"/>
      <definedName name="AeroRoc_HpFtPerMin_fHpIsaDevCGradFtPerNmKcas"/>
      <definedName name="AeroRoc_HpFtPerMin_fHpIsaDevCGradFtPerNmKtas"/>
      <definedName name="AeroSigma_fISAdevCelsiusHp"/>
      <definedName name="AeroSigma_fISAdevFahrenheitHp"/>
      <definedName name="AeroSigma_fOATCelsiusHp"/>
      <definedName name="AeroSigma_fOATFahrenheitHp"/>
      <definedName name="AeroSigma_fOATKelvinHp"/>
      <definedName name="AeroSigma_fOATRankineHp"/>
      <definedName name="AeroSigmaStdDay_fHp"/>
      <definedName name="AeroSpdSnd_ftPerSec_fISAdevCelsiusHp"/>
      <definedName name="AeroSpdSnd_ftPerSec_fISAdevFahrenheitHp"/>
      <definedName name="AeroSpdSnd_ftPerSec_fOATCelsius"/>
      <definedName name="AeroSpdSnd_ftPerSec_fOATFahrenheit"/>
      <definedName name="AeroSpdSnd_ftPerSec_fOATKelvin"/>
      <definedName name="AeroSpdSnd_ftPerSec_fOATRankine"/>
      <definedName name="AeroSpdSnd_kmPerHr_fISAdevCelsiusHp"/>
      <definedName name="AeroSpdSnd_kmPerHr_fISAdevFahrenheitHp"/>
      <definedName name="AeroSpdSnd_kmPerHr_fOATCelsius"/>
      <definedName name="AeroSpdSnd_kmPerHr_fOATFahrenheit"/>
      <definedName name="AeroSpdSnd_kmPerHr_fOATKelvin"/>
      <definedName name="AeroSpdSnd_kmPerHr_fOATRankine"/>
      <definedName name="AeroSpdSnd_KTS_fISAdevCelsiusHp"/>
      <definedName name="AeroSpdSnd_KTS_fISAdevFahrenheitHp"/>
      <definedName name="AeroSpdSnd_KTS_fOATCelsius"/>
      <definedName name="AeroSpdSnd_KTS_fOATFahrenheit"/>
      <definedName name="AeroSpdSnd_KTS_fOATKelvin"/>
      <definedName name="AeroSpdSnd_KTS_fOATRankine"/>
      <definedName name="AeroSpdSnd_meterPerSec_fISAdevCelsiusHp"/>
      <definedName name="AeroSpdSnd_meterPerSec_fISAdevFahrenheitHp"/>
      <definedName name="AeroSpdSnd_meterPerSec_fOATCelsius"/>
      <definedName name="AeroSpdSnd_meterPerSec_fOATFahrenheit"/>
      <definedName name="AeroSpdSnd_meterPerSec_fOATKelvin"/>
      <definedName name="AeroSpdSnd_meterPerSec_fOATRankine"/>
      <definedName name="AeroSpdSnd_milePerHr_fISAdevCelsiusHp"/>
      <definedName name="AeroSpdSnd_milePerHr_fISAdevFahrenheitHp"/>
      <definedName name="AeroSpdSnd_milePerHr_fOATCelsius"/>
      <definedName name="AeroSpdSnd_milePerHr_fOATFahrenheit"/>
      <definedName name="AeroSpdSnd_milePerHr_fOATKelvin"/>
      <definedName name="AeroSpdSnd_milePerHr_fOATRankine"/>
      <definedName name="AeroSpdSndStdDay_ftPerSec_fHp"/>
      <definedName name="AeroSpdSndStdDay_kmPerHr_fHp"/>
      <definedName name="AeroSpdSndStdDay_KTS_fHp"/>
      <definedName name="AeroSpdSndStdDay_meterPerSec_fHp"/>
      <definedName name="AeroSpdSndStdDay_milePerHr_fHp"/>
      <definedName name="AeroTapeAlt_ft_fGeoptlAlt"/>
      <definedName name="AeroTapeAlt_meter_fGeoptlAlt"/>
      <definedName name="AeroTheta_fISAdevCelsiusHp"/>
      <definedName name="AeroTheta_fISAdevFahrenheitHp"/>
      <definedName name="AeroTheta_fOATCelsius"/>
      <definedName name="AeroTheta_fOATFahrenheit"/>
      <definedName name="AeroTheta_fOATKelvin"/>
      <definedName name="AeroTheta_fOATRankine"/>
      <definedName name="AeroThetaStdDay_fHp"/>
      <definedName name="AeroTurnBank_deg_fNz"/>
      <definedName name="AeroTurnBank_deg_fRadiusKtas"/>
      <definedName name="AeroTurnBank_deg_fTurnRateDegPerSecKtas"/>
      <definedName name="AeroTurnNz_fBankDeg"/>
      <definedName name="AeroTurnNz_fRadiusFtKtas"/>
      <definedName name="AeroTurnNz_fTurnRateDegPerSecKtas"/>
      <definedName name="AeroTurnRadius_ft_fBankDegKtas"/>
      <definedName name="AeroTurnRadius_ft_fNzKtas"/>
      <definedName name="AeroTurnRadius_ft_fTurnRateDegPerSecKtas"/>
      <definedName name="AeroTurnRate_degPerSec_fBankDegKtas"/>
      <definedName name="AeroTurnRate_degPerSec_fNzKtas"/>
      <definedName name="AeroTurnRate_degPerSec_fRadiusFtKtas"/>
      <definedName name="AeroViscDyn_kgPerMeterSec_fTheta"/>
      <definedName name="AeroViscDyn_SlugPerftSec_fTheta"/>
      <definedName name="AeroViscKin_ft2PerSec_fSigmaTheta"/>
      <definedName name="AeroViscKin_meter2PerSec_fSigmaTheta"/>
      <definedName name="AeroWndCross_fAcHdgWndHdgWndSpd"/>
      <definedName name="AeroWndHead_fAcHdgWndHdgWndSp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AO259"/>
  <sheetViews>
    <sheetView tabSelected="1" topLeftCell="B20" zoomScale="85" zoomScaleNormal="85" workbookViewId="0">
      <selection activeCell="B60" sqref="B60"/>
    </sheetView>
  </sheetViews>
  <sheetFormatPr defaultRowHeight="15" x14ac:dyDescent="0.25"/>
  <cols>
    <col min="1" max="1" width="25.140625" style="7" customWidth="1"/>
    <col min="2" max="2" width="56.28515625" style="3" customWidth="1"/>
    <col min="3" max="5" width="15.42578125" style="8" customWidth="1"/>
    <col min="6" max="6" width="5.7109375" customWidth="1"/>
    <col min="7" max="7" width="19" style="7" bestFit="1" customWidth="1"/>
    <col min="8" max="8" width="14.85546875" style="3" bestFit="1" customWidth="1"/>
    <col min="9" max="9" width="14.85546875" style="8" bestFit="1" customWidth="1"/>
    <col min="10" max="10" width="14.7109375" bestFit="1" customWidth="1"/>
    <col min="11" max="11" width="11.5703125" bestFit="1" customWidth="1"/>
    <col min="12" max="12" width="5.5703125" customWidth="1"/>
    <col min="13" max="13" width="11.7109375" customWidth="1"/>
    <col min="14" max="14" width="14.85546875" style="7" bestFit="1" customWidth="1"/>
    <col min="15" max="15" width="14.85546875" style="8" bestFit="1" customWidth="1"/>
    <col min="16" max="17" width="14.85546875" style="8" customWidth="1"/>
    <col min="18" max="18" width="5.7109375" customWidth="1"/>
    <col min="19" max="19" width="11.5703125" customWidth="1"/>
    <col min="20" max="20" width="14.85546875" style="7" bestFit="1" customWidth="1"/>
    <col min="21" max="21" width="14.85546875" style="8" bestFit="1" customWidth="1"/>
    <col min="22" max="23" width="14.85546875" style="8" customWidth="1"/>
    <col min="24" max="24" width="5.7109375" customWidth="1"/>
    <col min="25" max="25" width="10.140625" bestFit="1" customWidth="1"/>
    <col min="26" max="26" width="14.85546875" style="7" bestFit="1" customWidth="1"/>
    <col min="27" max="27" width="14.85546875" style="8" bestFit="1" customWidth="1"/>
    <col min="28" max="29" width="14.85546875" style="8" customWidth="1"/>
    <col min="30" max="30" width="5.7109375" customWidth="1"/>
    <col min="31" max="31" width="13.85546875" bestFit="1" customWidth="1"/>
    <col min="32" max="32" width="14.85546875" style="7" customWidth="1"/>
    <col min="33" max="35" width="14.85546875" style="8" customWidth="1"/>
    <col min="36" max="36" width="5.85546875" customWidth="1"/>
    <col min="37" max="37" width="13.85546875" bestFit="1" customWidth="1"/>
    <col min="38" max="38" width="14.85546875" style="7" customWidth="1"/>
    <col min="39" max="41" width="14.85546875" style="8" customWidth="1"/>
  </cols>
  <sheetData>
    <row r="1" spans="1:41" x14ac:dyDescent="0.25">
      <c r="A1" s="8" t="s">
        <v>215</v>
      </c>
    </row>
    <row r="2" spans="1:41" x14ac:dyDescent="0.25">
      <c r="A2" s="8" t="s">
        <v>169</v>
      </c>
    </row>
    <row r="3" spans="1:41" x14ac:dyDescent="0.25">
      <c r="A3" s="8" t="s">
        <v>170</v>
      </c>
    </row>
    <row r="5" spans="1:41" x14ac:dyDescent="0.25">
      <c r="A5" s="5" t="s">
        <v>156</v>
      </c>
    </row>
    <row r="6" spans="1:41" s="2" customFormat="1" x14ac:dyDescent="0.25">
      <c r="A6" s="3" t="s">
        <v>23</v>
      </c>
      <c r="B6" s="23" t="s">
        <v>24</v>
      </c>
      <c r="C6" s="24"/>
      <c r="D6"/>
      <c r="E6"/>
      <c r="G6" s="3" t="s">
        <v>42</v>
      </c>
      <c r="H6" s="23" t="s">
        <v>43</v>
      </c>
      <c r="I6" s="24"/>
      <c r="J6"/>
      <c r="K6"/>
      <c r="M6" s="3" t="s">
        <v>15</v>
      </c>
      <c r="N6" s="23" t="s">
        <v>16</v>
      </c>
      <c r="O6" s="24"/>
      <c r="S6" s="3" t="s">
        <v>45</v>
      </c>
      <c r="T6" s="23" t="s">
        <v>44</v>
      </c>
      <c r="U6" s="24"/>
      <c r="V6"/>
      <c r="W6"/>
      <c r="Y6" s="3" t="s">
        <v>17</v>
      </c>
      <c r="Z6" s="23" t="s">
        <v>18</v>
      </c>
      <c r="AA6" s="24"/>
      <c r="AB6"/>
      <c r="AC6"/>
      <c r="AE6" s="3" t="s">
        <v>46</v>
      </c>
      <c r="AF6" s="23" t="s">
        <v>47</v>
      </c>
      <c r="AG6" s="24"/>
      <c r="AH6"/>
      <c r="AI6"/>
      <c r="AK6" s="3" t="s">
        <v>49</v>
      </c>
      <c r="AL6" s="23" t="s">
        <v>50</v>
      </c>
      <c r="AM6" s="24"/>
      <c r="AN6"/>
      <c r="AO6"/>
    </row>
    <row r="7" spans="1:41" x14ac:dyDescent="0.25">
      <c r="A7" s="6">
        <v>40000</v>
      </c>
      <c r="B7" s="3" t="s">
        <v>0</v>
      </c>
      <c r="C7" s="9">
        <f>[1]!AeroDelta_fHp(hp)</f>
        <v>0.18508663099959033</v>
      </c>
      <c r="D7" s="8">
        <v>0.18508663099959033</v>
      </c>
      <c r="E7" s="10">
        <f>(C7-D7)/D7*100</f>
        <v>0</v>
      </c>
      <c r="G7" s="1">
        <f>AeroConvCelsiusToKelvin(oatC)</f>
        <v>236.64999999999998</v>
      </c>
      <c r="H7" s="3" t="s">
        <v>48</v>
      </c>
      <c r="I7" s="9">
        <f>AeroConvKelvinToCelsius(oatK)</f>
        <v>-36.5</v>
      </c>
      <c r="J7">
        <v>-36.5</v>
      </c>
      <c r="K7" s="10">
        <f>(I7-J7)/J7*100</f>
        <v>0</v>
      </c>
      <c r="M7" s="6">
        <v>-36.5</v>
      </c>
      <c r="N7" s="3" t="s">
        <v>4</v>
      </c>
      <c r="O7" s="9">
        <f>[1]!AeroConvCelsiusToKelvin(oatC)</f>
        <v>236.64999999999998</v>
      </c>
      <c r="P7">
        <v>236.64999999999998</v>
      </c>
      <c r="Q7" s="10">
        <f>(O7-P7)/P7*100</f>
        <v>0</v>
      </c>
      <c r="S7" s="1">
        <f>[1]!AeroConvCelsiustoRankine(oatC)</f>
        <v>425.96999999999997</v>
      </c>
      <c r="T7" s="3" t="s">
        <v>4</v>
      </c>
      <c r="U7" s="9">
        <f>[1]!AeroConvRankineToKelvin(oatR)</f>
        <v>236.64999999999998</v>
      </c>
      <c r="V7" s="8">
        <v>236.65</v>
      </c>
      <c r="W7" s="10">
        <f>(U7-V7)/V7*100</f>
        <v>-1.2010018774732309E-14</v>
      </c>
      <c r="Y7" s="1">
        <f>[1]!AeroConvCelsiusToFahrenheit(oatC)</f>
        <v>-33.700000000000045</v>
      </c>
      <c r="Z7" s="3" t="s">
        <v>4</v>
      </c>
      <c r="AA7" s="9">
        <f>[1]!AeroConvFahrenheitToKelvin(oatF)</f>
        <v>236.64999999999998</v>
      </c>
      <c r="AB7" s="8">
        <v>236.65</v>
      </c>
      <c r="AC7" s="10">
        <f>(AA7-AB7)/AB7*100</f>
        <v>-1.2010018774732309E-14</v>
      </c>
      <c r="AE7" s="1">
        <v>20</v>
      </c>
      <c r="AF7" s="3" t="s">
        <v>4</v>
      </c>
      <c r="AG7" s="9">
        <f>[1]!AeroOAT_Kelvin_fISAdevCelsiusHp(isaDevC,hp)</f>
        <v>236.65</v>
      </c>
      <c r="AH7" s="8">
        <v>236.65</v>
      </c>
      <c r="AI7" s="10">
        <f>(AG7-AH7)/AH7*100</f>
        <v>0</v>
      </c>
      <c r="AK7" s="1">
        <v>36</v>
      </c>
      <c r="AL7" s="3" t="s">
        <v>4</v>
      </c>
      <c r="AM7" s="9">
        <f>[1]!AeroOAT_Kelvin_fISAdevFahrenheitHp(isaDevF,hp)</f>
        <v>236.65</v>
      </c>
      <c r="AN7" s="8">
        <v>236.65</v>
      </c>
      <c r="AO7" s="10">
        <f>(AM7-AN7)/AN7*100</f>
        <v>0</v>
      </c>
    </row>
    <row r="8" spans="1:41" x14ac:dyDescent="0.25">
      <c r="A8" s="8" t="s">
        <v>103</v>
      </c>
      <c r="B8" s="3" t="s">
        <v>12</v>
      </c>
      <c r="C8" s="9">
        <f>[1]!AeroOatStdDay_Kelvin_fHp(hp)</f>
        <v>216.65</v>
      </c>
      <c r="D8" s="8">
        <v>216.65</v>
      </c>
      <c r="E8" s="10">
        <f>(C8-D8)/D8*100</f>
        <v>0</v>
      </c>
      <c r="G8"/>
      <c r="H8" s="3" t="s">
        <v>6</v>
      </c>
      <c r="I8" s="9">
        <f>[1]!AeroConvKelvinToRankine(oatK)</f>
        <v>425.96999999999997</v>
      </c>
      <c r="J8">
        <v>425.97</v>
      </c>
      <c r="K8" s="10">
        <f>(I8-J8)/J8*100</f>
        <v>-1.334446530525812E-14</v>
      </c>
      <c r="M8" s="7"/>
      <c r="N8" s="3" t="s">
        <v>6</v>
      </c>
      <c r="O8" s="9">
        <f>[1]!AeroConvCelsiustoRankine(oatC)</f>
        <v>425.96999999999997</v>
      </c>
      <c r="P8">
        <v>425.96999999999997</v>
      </c>
      <c r="Q8" s="10">
        <f>(O8-P8)/P8*100</f>
        <v>0</v>
      </c>
      <c r="T8" s="3" t="s">
        <v>48</v>
      </c>
      <c r="U8" s="9">
        <f>[1]!AeroConvRankineToCelsius(oatR)</f>
        <v>-36.5</v>
      </c>
      <c r="V8" s="8">
        <v>-36.5</v>
      </c>
      <c r="W8" s="10">
        <f>(U8-V8)/V8*100</f>
        <v>0</v>
      </c>
      <c r="Z8" s="3" t="s">
        <v>48</v>
      </c>
      <c r="AA8" s="9">
        <f>[1]!AeroConvFahrenheitToCelsius(oatF)</f>
        <v>-36.500000000000021</v>
      </c>
      <c r="AB8" s="8">
        <v>-36.5</v>
      </c>
      <c r="AC8" s="10">
        <f>(AA8-AB8)/AB8*100</f>
        <v>5.8400772802200009E-14</v>
      </c>
      <c r="AF8" s="3" t="s">
        <v>48</v>
      </c>
      <c r="AG8" s="9">
        <f>[1]!AeroOAT_Celsius_fISAdevCelsiusHp(isaDevC,hp)</f>
        <v>-36.499999999999972</v>
      </c>
      <c r="AH8" s="8">
        <v>-36.499999999999972</v>
      </c>
      <c r="AI8" s="10">
        <f>(AG8-AH8)/AH8*100</f>
        <v>0</v>
      </c>
      <c r="AL8" s="3" t="s">
        <v>48</v>
      </c>
      <c r="AM8" s="9">
        <f>[1]!AeroOAT_Celsius_fISAdevFahrenheitHp(isaDevF,hp)</f>
        <v>-36.499999999999972</v>
      </c>
      <c r="AN8" s="8">
        <v>-36.499999999999972</v>
      </c>
      <c r="AO8" s="10">
        <f>(AM8-AN8)/AN8*100</f>
        <v>0</v>
      </c>
    </row>
    <row r="9" spans="1:41" s="20" customFormat="1" x14ac:dyDescent="0.25">
      <c r="A9" s="8"/>
      <c r="B9" s="3" t="s">
        <v>11</v>
      </c>
      <c r="C9" s="9">
        <f>[1]!AeroOatStdDay_Celsius_fHp(hp)</f>
        <v>-56.499999999999972</v>
      </c>
      <c r="D9" s="8">
        <v>-56.499999999999972</v>
      </c>
      <c r="E9" s="10">
        <f>(C9-D9)/D9*100</f>
        <v>0</v>
      </c>
      <c r="F9"/>
      <c r="G9"/>
      <c r="H9" s="3" t="s">
        <v>5</v>
      </c>
      <c r="I9" s="9">
        <f>[1]!AeroConvKelvinToFahrenheit(oatK)</f>
        <v>-33.700000000000045</v>
      </c>
      <c r="J9">
        <v>-33.700000000000003</v>
      </c>
      <c r="K9" s="10">
        <f>(I9-J9)/J9*100</f>
        <v>1.2650612506114542E-13</v>
      </c>
      <c r="L9"/>
      <c r="M9" s="7"/>
      <c r="N9" s="3" t="s">
        <v>5</v>
      </c>
      <c r="O9" s="9">
        <f>[1]!AeroConvCelsiusToFahrenheit(oatC)</f>
        <v>-33.700000000000045</v>
      </c>
      <c r="P9">
        <v>-33.700000000000045</v>
      </c>
      <c r="Q9" s="10">
        <f>(O9-P9)/P9*100</f>
        <v>0</v>
      </c>
      <c r="R9"/>
      <c r="S9"/>
      <c r="T9" s="3" t="s">
        <v>5</v>
      </c>
      <c r="U9" s="9">
        <f>[1]!AeroConvRankineToFahrenheit(oatR)</f>
        <v>-33.700000000000045</v>
      </c>
      <c r="V9" s="8">
        <v>-33.700000000000045</v>
      </c>
      <c r="W9" s="10">
        <f>(U9-V9)/V9*100</f>
        <v>0</v>
      </c>
      <c r="X9"/>
      <c r="Y9"/>
      <c r="Z9" s="3" t="s">
        <v>6</v>
      </c>
      <c r="AA9" s="9">
        <f>[1]!AeroConvFahrenheitToRankine(oatF)</f>
        <v>425.96999999999997</v>
      </c>
      <c r="AB9" s="8">
        <v>425.96999999999997</v>
      </c>
      <c r="AC9" s="10">
        <f>(AA9-AB9)/AB9*100</f>
        <v>0</v>
      </c>
      <c r="AD9"/>
      <c r="AE9"/>
      <c r="AF9" s="3" t="s">
        <v>6</v>
      </c>
      <c r="AG9" s="9">
        <f>[1]!AeroOAT_Rankine_fISAdevCelsiusHp(isaDevC,hp)</f>
        <v>425.97</v>
      </c>
      <c r="AH9" s="8">
        <v>425.97</v>
      </c>
      <c r="AI9" s="10">
        <f>(AG9-AH9)/AH9*100</f>
        <v>0</v>
      </c>
      <c r="AJ9"/>
      <c r="AK9"/>
      <c r="AL9" s="3" t="s">
        <v>6</v>
      </c>
      <c r="AM9" s="9">
        <f>[1]!AeroOAT_Rankine_fISAdevFahrenheitHp(isaDevF,hp)</f>
        <v>425.97</v>
      </c>
      <c r="AN9" s="8">
        <v>425.97</v>
      </c>
      <c r="AO9" s="10">
        <f>(AM9-AN9)/AN9*100</f>
        <v>0</v>
      </c>
    </row>
    <row r="10" spans="1:41" x14ac:dyDescent="0.25">
      <c r="B10" s="3" t="s">
        <v>14</v>
      </c>
      <c r="C10" s="9">
        <f>[1]!AeroOatStdDay_Rankine_fHp(hp)</f>
        <v>389.97</v>
      </c>
      <c r="D10" s="8">
        <v>389.97</v>
      </c>
      <c r="E10" s="10">
        <f>(C10-D10)/D10*100</f>
        <v>0</v>
      </c>
      <c r="G10"/>
      <c r="H10" s="7"/>
      <c r="J10" s="8"/>
      <c r="K10" s="8"/>
      <c r="M10" s="7"/>
      <c r="N10" s="3"/>
      <c r="P10"/>
      <c r="Q10"/>
      <c r="AF10" s="3" t="s">
        <v>5</v>
      </c>
      <c r="AG10" s="9">
        <f>[1]!AeroOAT_Fahrenheit_fISAdevCelsiusHp(isaDevC,hp)</f>
        <v>-33.699999999999989</v>
      </c>
      <c r="AH10" s="8">
        <v>-33.699999999999989</v>
      </c>
      <c r="AI10" s="10">
        <f>(AG10-AH10)/AH10*100</f>
        <v>0</v>
      </c>
      <c r="AL10" s="3" t="s">
        <v>5</v>
      </c>
      <c r="AM10" s="9">
        <f>[1]!AeroOAT_Fahrenheit_fISAdevFahrenheitHp(isaDevF,hp)</f>
        <v>-33.699999999999989</v>
      </c>
      <c r="AN10" s="8">
        <v>-33.699999999999989</v>
      </c>
      <c r="AO10" s="10">
        <f>(AM10-AN10)/AN10*100</f>
        <v>0</v>
      </c>
    </row>
    <row r="11" spans="1:41" x14ac:dyDescent="0.25">
      <c r="B11" s="3" t="s">
        <v>13</v>
      </c>
      <c r="C11" s="9">
        <f>[1]!AeroOatStdDay_Fahrenheit_fHp(hp)</f>
        <v>-69.699999999999989</v>
      </c>
      <c r="D11" s="8">
        <v>-69.699999999999989</v>
      </c>
      <c r="E11" s="10">
        <f t="shared" ref="E11:E29" si="0">(C11-D11)/D11*100</f>
        <v>0</v>
      </c>
      <c r="G11"/>
      <c r="H11" s="7"/>
      <c r="J11" s="8"/>
      <c r="K11" s="8"/>
      <c r="M11" s="7"/>
      <c r="N11" s="3"/>
      <c r="P11"/>
      <c r="Q11"/>
    </row>
    <row r="12" spans="1:41" x14ac:dyDescent="0.25">
      <c r="G12"/>
      <c r="H12" s="3" t="s">
        <v>62</v>
      </c>
      <c r="I12" s="9">
        <f>[1]!AeroRho_SlugPerFt3_fHpOATKelvin(hp,oatK)</f>
        <v>5.3566921570916278E-4</v>
      </c>
      <c r="J12">
        <v>5.35669215709163E-4</v>
      </c>
      <c r="K12" s="10">
        <f t="shared" ref="K12:K17" si="1">(I12-J12)/J12*100</f>
        <v>-4.048028674002288E-14</v>
      </c>
      <c r="M12" s="7"/>
      <c r="N12" s="3" t="s">
        <v>62</v>
      </c>
      <c r="O12" s="9">
        <f>[1]!AeroRho_SlugPerFt3_fHpOATCelsius(hp,oatC)</f>
        <v>5.3566921570916278E-4</v>
      </c>
      <c r="P12">
        <v>5.3566921570916278E-4</v>
      </c>
      <c r="Q12" s="10">
        <f t="shared" ref="Q12:Q17" si="2">(O12-P12)/P12*100</f>
        <v>0</v>
      </c>
      <c r="T12" s="3" t="s">
        <v>62</v>
      </c>
      <c r="U12" s="9">
        <f>[1]!AeroRho_SlugPerFt3_fHpOATRankine(hp,oatR)</f>
        <v>5.3566921570916278E-4</v>
      </c>
      <c r="V12" s="8">
        <v>5.3566921570916278E-4</v>
      </c>
      <c r="W12" s="10">
        <f t="shared" ref="W12:W17" si="3">(U12-V12)/V12*100</f>
        <v>0</v>
      </c>
      <c r="Z12" s="3" t="s">
        <v>62</v>
      </c>
      <c r="AA12" s="9">
        <f>[1]!AeroRho_SlugPerFt3_fHpOATFahrenheit(hp,oatF)</f>
        <v>5.3566921570916278E-4</v>
      </c>
      <c r="AB12" s="8">
        <v>5.3566921570916278E-4</v>
      </c>
      <c r="AC12" s="10">
        <f t="shared" ref="AC12:AC17" si="4">(AA12-AB12)/AB12*100</f>
        <v>0</v>
      </c>
      <c r="AF12" s="3" t="s">
        <v>62</v>
      </c>
      <c r="AG12" s="9">
        <f>[1]!AeroRho_SlugPerFt3_fHpISAdevCelsius(hp,isaDevC)</f>
        <v>5.3566921570916267E-4</v>
      </c>
      <c r="AH12" s="8">
        <v>5.3566921570916267E-4</v>
      </c>
      <c r="AI12" s="10">
        <f>(AG12-AH12)/AH12*100</f>
        <v>0</v>
      </c>
      <c r="AL12" s="3" t="s">
        <v>62</v>
      </c>
      <c r="AM12" s="9">
        <f>[1]!AeroRho_SlugPerFt3_fHpISAdevFahrenheit(hp,isaDevF)</f>
        <v>5.3566921570916267E-4</v>
      </c>
      <c r="AN12" s="8">
        <v>5.3566921570916267E-4</v>
      </c>
      <c r="AO12" s="10">
        <f>(AM12-AN12)/AN12*100</f>
        <v>0</v>
      </c>
    </row>
    <row r="13" spans="1:41" x14ac:dyDescent="0.25">
      <c r="B13" s="3" t="s">
        <v>22</v>
      </c>
      <c r="C13" s="9">
        <f>[1]!AeroSpdSndStdDay_ftPerSec_fHp(hp)</f>
        <v>968.07576610587739</v>
      </c>
      <c r="D13" s="8">
        <v>968.07576610587739</v>
      </c>
      <c r="E13" s="10">
        <f>(C13-D13)/D13*100</f>
        <v>0</v>
      </c>
      <c r="G13"/>
      <c r="H13" s="3" t="s">
        <v>20</v>
      </c>
      <c r="I13" s="9">
        <f>[1]!AeroSpdSnd_ftPerSec_fOATKelvin(oatK)</f>
        <v>1011.7733973042507</v>
      </c>
      <c r="J13">
        <v>1011.77339730425</v>
      </c>
      <c r="K13" s="10">
        <f t="shared" si="1"/>
        <v>6.7418359500964001E-14</v>
      </c>
      <c r="M13" s="7"/>
      <c r="N13" s="3" t="s">
        <v>20</v>
      </c>
      <c r="O13" s="9">
        <f>[1]!AeroSpdSnd_ftPerSec_fOATCelsius(oatC)</f>
        <v>1011.7733973042507</v>
      </c>
      <c r="P13">
        <v>1011.7733973042507</v>
      </c>
      <c r="Q13" s="10">
        <f t="shared" si="2"/>
        <v>0</v>
      </c>
      <c r="T13" s="3" t="s">
        <v>20</v>
      </c>
      <c r="U13" s="9">
        <f>[1]!AeroSpdSnd_ftPerSec_fOATRankine(oatR)</f>
        <v>1011.7733973042507</v>
      </c>
      <c r="V13" s="8">
        <v>1011.7733973042507</v>
      </c>
      <c r="W13" s="10">
        <f t="shared" si="3"/>
        <v>0</v>
      </c>
      <c r="Z13" s="3" t="s">
        <v>20</v>
      </c>
      <c r="AA13" s="9">
        <f>[1]!AeroSpdSnd_ftPerSec_fOATFahrenheit(oatF)</f>
        <v>1011.7733973042507</v>
      </c>
      <c r="AB13" s="8">
        <v>1011.7733973042507</v>
      </c>
      <c r="AC13" s="10">
        <f t="shared" si="4"/>
        <v>0</v>
      </c>
      <c r="AF13" s="3" t="s">
        <v>20</v>
      </c>
      <c r="AG13" s="9">
        <f>[1]!AeroSpdSnd_ftPerSec_fISAdevCelsiusHp(isaDevC,hp)</f>
        <v>1011.7733973042507</v>
      </c>
      <c r="AH13" s="8">
        <v>1011.7733973042507</v>
      </c>
      <c r="AI13" s="10">
        <f>(AG13-AH13)/AH13*100</f>
        <v>0</v>
      </c>
      <c r="AL13" s="3" t="s">
        <v>20</v>
      </c>
      <c r="AM13" s="9">
        <f>[1]!AeroSpdSnd_ftPerSec_fISAdevFahrenheitHp(isaDevF,hp)</f>
        <v>1011.7733973042507</v>
      </c>
      <c r="AN13" s="8">
        <v>1011.7733973042507</v>
      </c>
      <c r="AO13" s="10">
        <f>(AM13-AN13)/AN13*100</f>
        <v>0</v>
      </c>
    </row>
    <row r="14" spans="1:41" x14ac:dyDescent="0.25">
      <c r="B14" s="3" t="s">
        <v>21</v>
      </c>
      <c r="C14" s="9">
        <f>[1]!AeroSpdSndStdDay_KTS_fHp(hp)</f>
        <v>573.56920984484691</v>
      </c>
      <c r="D14" s="8">
        <v>573.56920984484691</v>
      </c>
      <c r="E14" s="10">
        <f>(C14-D14)/D14*100</f>
        <v>0</v>
      </c>
      <c r="G14"/>
      <c r="H14" s="3" t="s">
        <v>19</v>
      </c>
      <c r="I14" s="9">
        <f>[1]!AeroSpdSnd_KTS_fOATKelvin(oatK)</f>
        <v>599.45934848488525</v>
      </c>
      <c r="J14">
        <v>599.45934848488503</v>
      </c>
      <c r="K14" s="10">
        <f t="shared" si="1"/>
        <v>3.7929790571773044E-14</v>
      </c>
      <c r="M14" s="7"/>
      <c r="N14" s="3" t="s">
        <v>19</v>
      </c>
      <c r="O14" s="9">
        <f>[1]!AeroSpdSnd_KTS_fOATCelsius(oatC)</f>
        <v>599.45934848488525</v>
      </c>
      <c r="P14">
        <v>599.45934848488525</v>
      </c>
      <c r="Q14" s="10">
        <f t="shared" si="2"/>
        <v>0</v>
      </c>
      <c r="T14" s="3" t="s">
        <v>19</v>
      </c>
      <c r="U14" s="9">
        <f>[1]!AeroSpdSnd_KTS_fOATRankine(oatR)</f>
        <v>599.45934848488525</v>
      </c>
      <c r="V14" s="8">
        <v>599.45934848488525</v>
      </c>
      <c r="W14" s="10">
        <f t="shared" si="3"/>
        <v>0</v>
      </c>
      <c r="Z14" s="3" t="s">
        <v>19</v>
      </c>
      <c r="AA14" s="9">
        <f>[1]!AeroSpdSnd_KTS_fOATFahrenheit(oatF)</f>
        <v>599.45934848488525</v>
      </c>
      <c r="AB14" s="8">
        <v>599.45934848488525</v>
      </c>
      <c r="AC14" s="10">
        <f t="shared" si="4"/>
        <v>0</v>
      </c>
      <c r="AF14" s="3" t="s">
        <v>19</v>
      </c>
      <c r="AG14" s="9">
        <f>[1]!AeroSpdSnd_KTS_fISAdevCelsiusHp(isaDevC,hp)</f>
        <v>599.45934848488525</v>
      </c>
      <c r="AH14" s="8">
        <v>599.45934848488525</v>
      </c>
      <c r="AI14" s="10">
        <f>(AG14-AH14)/AH14*100</f>
        <v>0</v>
      </c>
      <c r="AL14" s="3" t="s">
        <v>19</v>
      </c>
      <c r="AM14" s="9">
        <f>[1]!AeroSpdSnd_KTS_fISAdevFahrenheitHp(isaDevF,hp)</f>
        <v>599.45934848488525</v>
      </c>
      <c r="AN14" s="8">
        <v>599.45934848488525</v>
      </c>
      <c r="AO14" s="10">
        <f>(AM14-AN14)/AN14*100</f>
        <v>0</v>
      </c>
    </row>
    <row r="15" spans="1:41" x14ac:dyDescent="0.25">
      <c r="B15" s="3" t="s">
        <v>207</v>
      </c>
      <c r="C15" s="9">
        <f>[1]!AeroSpdSndStdDay_milePerHr_fHp(hp)</f>
        <v>660.05165870855285</v>
      </c>
      <c r="D15" s="8">
        <v>660.05165870855285</v>
      </c>
      <c r="E15" s="10">
        <f>(C15-D15)/D15*100</f>
        <v>0</v>
      </c>
      <c r="G15"/>
      <c r="H15" s="3" t="s">
        <v>208</v>
      </c>
      <c r="I15" s="9">
        <f>[1]!AeroSpdSnd_milePerHr_fOATKelvin(oatK)</f>
        <v>689.8454981619891</v>
      </c>
      <c r="J15">
        <v>689.84549816198898</v>
      </c>
      <c r="K15" s="10">
        <f t="shared" si="1"/>
        <v>1.648004343356897E-14</v>
      </c>
      <c r="M15" s="7"/>
      <c r="N15" s="3" t="s">
        <v>208</v>
      </c>
      <c r="O15" s="9">
        <f>[1]!AeroSpdSnd_milePerHr_fOATCelsius(oatC)</f>
        <v>689.8454981619891</v>
      </c>
      <c r="P15">
        <v>689.8454981619891</v>
      </c>
      <c r="Q15" s="10">
        <f t="shared" si="2"/>
        <v>0</v>
      </c>
      <c r="T15" s="3" t="s">
        <v>208</v>
      </c>
      <c r="U15" s="9">
        <f>[1]!AeroSpdSnd_milePerHr_fOATRankine(oatR)</f>
        <v>689.8454981619891</v>
      </c>
      <c r="V15" s="8">
        <v>689.8454981619891</v>
      </c>
      <c r="W15" s="10">
        <f t="shared" si="3"/>
        <v>0</v>
      </c>
      <c r="Z15" s="3" t="s">
        <v>208</v>
      </c>
      <c r="AA15" s="9">
        <f>[1]!AeroSpdSnd_milePerHr_fOATFahrenheit(oatF)</f>
        <v>689.8454981619891</v>
      </c>
      <c r="AB15" s="8">
        <v>689.8454981619891</v>
      </c>
      <c r="AC15" s="10">
        <f t="shared" si="4"/>
        <v>0</v>
      </c>
      <c r="AF15" s="3" t="s">
        <v>208</v>
      </c>
      <c r="AG15" s="9">
        <f>[1]!AeroSpdSnd_milePerHr_fISAdevCelsiusHp(isaDevC,hp)</f>
        <v>689.8454981619891</v>
      </c>
      <c r="AH15" s="8">
        <v>689.8454981619891</v>
      </c>
      <c r="AI15" s="10">
        <f t="shared" ref="AI15" si="5">(AG15-AH15)/AH15*100</f>
        <v>0</v>
      </c>
      <c r="AL15" s="3" t="s">
        <v>208</v>
      </c>
      <c r="AM15" s="9">
        <f>[1]!AeroSpdSnd_milePerHr_fISAdevFahrenheitHp(isaDevF,hp)</f>
        <v>689.8454981619891</v>
      </c>
      <c r="AN15" s="8">
        <v>689.8454981619891</v>
      </c>
      <c r="AO15" s="10">
        <f t="shared" ref="AO15" si="6">(AM15-AN15)/AN15*100</f>
        <v>0</v>
      </c>
    </row>
    <row r="16" spans="1:41" x14ac:dyDescent="0.25">
      <c r="B16" s="3" t="s">
        <v>26</v>
      </c>
      <c r="C16" s="9">
        <f>[1]!AeroSpdSndStdDay_meterPerSec_fHp(hp)</f>
        <v>295.06949350907144</v>
      </c>
      <c r="D16" s="8">
        <v>295.06949350907144</v>
      </c>
      <c r="E16" s="10">
        <f>(C16-D16)/D16*100</f>
        <v>0</v>
      </c>
      <c r="G16"/>
      <c r="H16" s="3" t="s">
        <v>27</v>
      </c>
      <c r="I16" s="9">
        <f>[1]!AeroSpdSnd_meterPerSec_fOATKelvin(oatK)</f>
        <v>308.38853149833562</v>
      </c>
      <c r="J16">
        <v>308.38853149833602</v>
      </c>
      <c r="K16" s="10">
        <f t="shared" si="1"/>
        <v>-1.2902682537914126E-13</v>
      </c>
      <c r="M16" s="7"/>
      <c r="N16" s="3" t="s">
        <v>27</v>
      </c>
      <c r="O16" s="9">
        <f>[1]!AeroSpdSnd_meterPerSec_fOATCelsius(oatC)</f>
        <v>308.38853149833562</v>
      </c>
      <c r="P16">
        <v>308.38853149833562</v>
      </c>
      <c r="Q16" s="10">
        <f t="shared" si="2"/>
        <v>0</v>
      </c>
      <c r="T16" s="3" t="s">
        <v>27</v>
      </c>
      <c r="U16" s="9">
        <f>[1]!AeroSpdSnd_meterPerSec_fOATRankine(oatR)</f>
        <v>308.38853149833562</v>
      </c>
      <c r="V16" s="8">
        <v>308.38853149833562</v>
      </c>
      <c r="W16" s="10">
        <f t="shared" si="3"/>
        <v>0</v>
      </c>
      <c r="Z16" s="3" t="s">
        <v>27</v>
      </c>
      <c r="AA16" s="9">
        <f>[1]!AeroSpdSnd_meterPerSec_fOATFahrenheit(oatF)</f>
        <v>308.38853149833562</v>
      </c>
      <c r="AB16" s="8">
        <v>308.38853149833562</v>
      </c>
      <c r="AC16" s="10">
        <f t="shared" si="4"/>
        <v>0</v>
      </c>
      <c r="AF16" s="3" t="s">
        <v>27</v>
      </c>
      <c r="AG16" s="9">
        <f>[1]!AeroSpdSnd_meterPerSec_fISAdevCelsiusHp(isaDevC,hp)</f>
        <v>308.38853149833562</v>
      </c>
      <c r="AH16" s="8">
        <v>308.38853149833562</v>
      </c>
      <c r="AI16" s="10">
        <f>(AG16-AH16)/AH16*100</f>
        <v>0</v>
      </c>
      <c r="AL16" s="3" t="s">
        <v>27</v>
      </c>
      <c r="AM16" s="9">
        <f>[1]!AeroSpdSnd_meterPerSec_fISAdevFahrenheitHp(isaDevF,hp)</f>
        <v>308.38853149833562</v>
      </c>
      <c r="AN16" s="8">
        <v>308.38853149833562</v>
      </c>
      <c r="AO16" s="10">
        <f>(AM16-AN16)/AN16*100</f>
        <v>0</v>
      </c>
    </row>
    <row r="17" spans="1:41" x14ac:dyDescent="0.25">
      <c r="B17" s="3" t="s">
        <v>25</v>
      </c>
      <c r="C17" s="9">
        <f>[1]!AeroSpdSndStdDay_kmPerHr_fHp(hp)</f>
        <v>1062.2501766326573</v>
      </c>
      <c r="D17" s="8">
        <v>1062.2501766326573</v>
      </c>
      <c r="E17" s="10">
        <f>(C17-D17)/D17*100</f>
        <v>0</v>
      </c>
      <c r="G17"/>
      <c r="H17" s="3" t="s">
        <v>28</v>
      </c>
      <c r="I17" s="9">
        <f>[1]!AeroSpdSnd_kmPerHr_fOATKelvin(oatK)</f>
        <v>1110.1987133940081</v>
      </c>
      <c r="J17">
        <v>1110.1987133940099</v>
      </c>
      <c r="K17" s="10">
        <f t="shared" si="1"/>
        <v>-1.6384358778303651E-13</v>
      </c>
      <c r="M17" s="7"/>
      <c r="N17" s="3" t="s">
        <v>28</v>
      </c>
      <c r="O17" s="9">
        <f>[1]!AeroSpdSnd_kmPerHr_fOATCelsius(oatC)</f>
        <v>1110.1987133940081</v>
      </c>
      <c r="P17">
        <v>1110.1987133940081</v>
      </c>
      <c r="Q17" s="10">
        <f t="shared" si="2"/>
        <v>0</v>
      </c>
      <c r="T17" s="3" t="s">
        <v>28</v>
      </c>
      <c r="U17" s="9">
        <f>[1]!AeroSpdSnd_kmPerHr_fOATRankine(oatR)</f>
        <v>1110.1987133940081</v>
      </c>
      <c r="V17" s="8">
        <v>1110.1987133940081</v>
      </c>
      <c r="W17" s="10">
        <f t="shared" si="3"/>
        <v>0</v>
      </c>
      <c r="Z17" s="3" t="s">
        <v>28</v>
      </c>
      <c r="AA17" s="9">
        <f>[1]!AeroSpdSnd_kmPerHr_fOATFahrenheit(oatF)</f>
        <v>1110.1987133940081</v>
      </c>
      <c r="AB17" s="8">
        <v>1110.1987133940081</v>
      </c>
      <c r="AC17" s="10">
        <f t="shared" si="4"/>
        <v>0</v>
      </c>
      <c r="AF17" s="3" t="s">
        <v>28</v>
      </c>
      <c r="AG17" s="9">
        <f>[1]!AeroSpdSnd_kmPerHr_fISAdevCelsiusHp(isaDevC,hp)</f>
        <v>1110.1987133940081</v>
      </c>
      <c r="AH17" s="8">
        <v>1110.1987133940081</v>
      </c>
      <c r="AI17" s="10">
        <f>(AG17-AH17)/AH17*100</f>
        <v>0</v>
      </c>
      <c r="AL17" s="3" t="s">
        <v>28</v>
      </c>
      <c r="AM17" s="9">
        <f>[1]!AeroSpdSnd_kmPerHr_fISAdevFahrenheitHp(isaDevF,hp)</f>
        <v>1110.1987133940081</v>
      </c>
      <c r="AN17" s="8">
        <v>1110.1987133940081</v>
      </c>
      <c r="AO17" s="10">
        <f>(AM17-AN17)/AN17*100</f>
        <v>0</v>
      </c>
    </row>
    <row r="18" spans="1:41" ht="15" customHeight="1" x14ac:dyDescent="0.25">
      <c r="B18" s="3" t="s">
        <v>2</v>
      </c>
      <c r="C18" s="9">
        <f>[1]!AeroPstatic_lbfPerFt2_fHp(hp)</f>
        <v>391.68340534113742</v>
      </c>
      <c r="D18" s="8">
        <v>391.68340534113742</v>
      </c>
      <c r="E18" s="10">
        <f t="shared" si="0"/>
        <v>0</v>
      </c>
      <c r="G18"/>
      <c r="H18" s="7"/>
      <c r="J18" s="8"/>
      <c r="K18" s="8"/>
      <c r="M18" s="7"/>
      <c r="N18" s="3"/>
      <c r="P18"/>
      <c r="Q18"/>
    </row>
    <row r="19" spans="1:41" x14ac:dyDescent="0.25">
      <c r="B19" s="3" t="s">
        <v>3</v>
      </c>
      <c r="C19" s="9">
        <f>[1]!AeroPstatic_lbfPerInch2_fHp(hp)</f>
        <v>2.7200236482023432</v>
      </c>
      <c r="D19" s="8">
        <v>2.7200236482023432</v>
      </c>
      <c r="E19" s="10">
        <f>(C19-D19)/D19*100</f>
        <v>0</v>
      </c>
      <c r="G19"/>
      <c r="H19" s="7"/>
      <c r="J19" s="8"/>
      <c r="K19" s="8"/>
      <c r="M19" s="7"/>
      <c r="N19" s="3"/>
      <c r="P19"/>
      <c r="Q19"/>
    </row>
    <row r="20" spans="1:41" x14ac:dyDescent="0.25">
      <c r="B20" s="3" t="s">
        <v>1</v>
      </c>
      <c r="C20" s="9">
        <f>[1]!AeroPstatic_inHg_fHp(hp)</f>
        <v>5.5380238023551103</v>
      </c>
      <c r="D20" s="8">
        <v>5.5380238023551103</v>
      </c>
      <c r="E20" s="10">
        <f>(C20-D20)/D20*100</f>
        <v>0</v>
      </c>
      <c r="G20"/>
      <c r="H20" s="3" t="s">
        <v>46</v>
      </c>
      <c r="I20" s="9">
        <f>[1]!AeroISAdev_Celsius_fOATKelvinHp(oatK,hp)</f>
        <v>19.999999999999972</v>
      </c>
      <c r="J20">
        <v>19.999999999999972</v>
      </c>
      <c r="K20" s="10">
        <f>(I20-J20)/J20*100</f>
        <v>0</v>
      </c>
      <c r="M20" s="7"/>
      <c r="N20" s="3" t="s">
        <v>46</v>
      </c>
      <c r="O20" s="9">
        <f>[1]!AeroISAdev_Celsius_fOATCelsiusHp(oatC,hp)</f>
        <v>19.999999999999972</v>
      </c>
      <c r="P20">
        <v>19.999999999999972</v>
      </c>
      <c r="Q20" s="10">
        <f>(O20-P20)/P20*100</f>
        <v>0</v>
      </c>
      <c r="T20" s="3" t="s">
        <v>46</v>
      </c>
      <c r="U20" s="9">
        <f>[1]!AeroISAdev_Celsius_fOATRankineHp(oatR,hp)</f>
        <v>19.999999999999972</v>
      </c>
      <c r="V20" s="8">
        <v>19.999999999999972</v>
      </c>
      <c r="W20" s="10">
        <f>(U20-V20)/V20*100</f>
        <v>0</v>
      </c>
      <c r="Z20" s="3" t="s">
        <v>46</v>
      </c>
      <c r="AA20" s="9">
        <f>[1]!AeroISAdev_Celsius_fOATFahrenheitHp(oatF,hp)</f>
        <v>19.999999999999972</v>
      </c>
      <c r="AB20" s="8">
        <v>19.999999999999972</v>
      </c>
      <c r="AC20" s="10">
        <f>(AA20-AB20)/AB20*100</f>
        <v>0</v>
      </c>
      <c r="AF20" s="3" t="s">
        <v>49</v>
      </c>
      <c r="AG20" s="9">
        <f>[1]!AeroISAdev_Fahrenheit_fISAdevCelsius(isaDevC)</f>
        <v>36</v>
      </c>
      <c r="AH20" s="8">
        <v>36</v>
      </c>
      <c r="AI20" s="10">
        <f>(AG20-AH20)/AH20*100</f>
        <v>0</v>
      </c>
      <c r="AL20" s="3" t="s">
        <v>46</v>
      </c>
      <c r="AM20" s="9">
        <f>[1]!AeroISAdev_Celsius_fISAdevFahrenheit(isaDevF)</f>
        <v>20</v>
      </c>
      <c r="AN20" s="8">
        <v>20</v>
      </c>
      <c r="AO20" s="10">
        <f>(AM20-AN20)/AN20*100</f>
        <v>0</v>
      </c>
    </row>
    <row r="21" spans="1:41" x14ac:dyDescent="0.25">
      <c r="B21" s="3" t="s">
        <v>216</v>
      </c>
      <c r="C21" s="9">
        <f>[1]!AeroPstatic_hPa_fHp(hp)</f>
        <v>187.53902886033518</v>
      </c>
      <c r="D21" s="8">
        <v>187.53902886033518</v>
      </c>
      <c r="E21" s="10">
        <f>(C21-D21)/D21*100</f>
        <v>0</v>
      </c>
      <c r="G21"/>
      <c r="H21" s="3" t="s">
        <v>49</v>
      </c>
      <c r="I21" s="9">
        <f>[1]!AeroISAdev_Fahrenheit_fOATKelvinHp(oatK,hp)</f>
        <v>35.999999999999943</v>
      </c>
      <c r="J21">
        <v>35.999999999999943</v>
      </c>
      <c r="K21" s="10">
        <f>(I21-J21)/J21*100</f>
        <v>0</v>
      </c>
      <c r="M21" s="7"/>
      <c r="N21" s="3" t="s">
        <v>49</v>
      </c>
      <c r="O21" s="9">
        <f>[1]!AeroISAdev_Fahrenheit_fOATCelsiusHp(oatC,hp)</f>
        <v>35.999999999999943</v>
      </c>
      <c r="P21">
        <v>35.999999999999943</v>
      </c>
      <c r="Q21" s="10">
        <f>(O21-P21)/P21*100</f>
        <v>0</v>
      </c>
      <c r="T21" s="3" t="s">
        <v>49</v>
      </c>
      <c r="U21" s="9">
        <f>[1]!AeroISAdev_Fahrenheit_fOATRankineHp(oatR,hp)</f>
        <v>35.999999999999943</v>
      </c>
      <c r="V21" s="8">
        <v>35.999999999999943</v>
      </c>
      <c r="W21" s="10">
        <f>(U21-V21)/V21*100</f>
        <v>0</v>
      </c>
      <c r="Z21" s="3" t="s">
        <v>49</v>
      </c>
      <c r="AA21" s="9">
        <f>[1]!AeroISAdev_Fahrenheit_fOATFahrenheitHp(oatF,hp)</f>
        <v>35.999999999999943</v>
      </c>
      <c r="AB21" s="8">
        <v>35.999999999999943</v>
      </c>
      <c r="AC21" s="10">
        <f>(AA21-AB21)/AB21*100</f>
        <v>0</v>
      </c>
    </row>
    <row r="22" spans="1:41" x14ac:dyDescent="0.25">
      <c r="B22" s="3" t="s">
        <v>61</v>
      </c>
      <c r="C22" s="9">
        <f>[1]!AeroRhoStdDay_SlugPerft3_fHp(hp)</f>
        <v>5.8511940871254725E-4</v>
      </c>
      <c r="D22" s="8">
        <v>5.8511940871254725E-4</v>
      </c>
      <c r="E22" s="10">
        <f t="shared" si="0"/>
        <v>0</v>
      </c>
      <c r="G22"/>
      <c r="H22" s="7"/>
      <c r="J22" s="8"/>
      <c r="K22" s="8"/>
      <c r="M22" s="7"/>
      <c r="N22" s="3"/>
      <c r="P22"/>
      <c r="Q22"/>
    </row>
    <row r="23" spans="1:41" x14ac:dyDescent="0.25">
      <c r="B23" s="3" t="s">
        <v>131</v>
      </c>
      <c r="C23" s="9">
        <f>[1]!AeroConvSlugPerFt3ToKgPerMeter3(D22)</f>
        <v>0.30155814948119813</v>
      </c>
      <c r="D23" s="8">
        <v>0.30155814948119813</v>
      </c>
      <c r="E23" s="10">
        <f t="shared" si="0"/>
        <v>0</v>
      </c>
      <c r="G23"/>
      <c r="H23" s="7"/>
      <c r="J23" s="8"/>
      <c r="K23" s="8"/>
      <c r="M23" s="7"/>
      <c r="N23" s="3"/>
      <c r="P23"/>
      <c r="Q23"/>
    </row>
    <row r="24" spans="1:41" x14ac:dyDescent="0.25">
      <c r="B24" s="3" t="s">
        <v>8</v>
      </c>
      <c r="C24" s="9">
        <f>[1]!AeroThetaStdDay_fHp(hp)</f>
        <v>0.75186534790907522</v>
      </c>
      <c r="D24" s="8">
        <v>0.751865347909075</v>
      </c>
      <c r="E24" s="10">
        <f t="shared" si="0"/>
        <v>2.9532496150079752E-14</v>
      </c>
      <c r="G24"/>
      <c r="H24" s="3" t="s">
        <v>7</v>
      </c>
      <c r="I24" s="9">
        <f>[1]!AeroTheta_fOATKelvin(oatK)</f>
        <v>0.8212736422002429</v>
      </c>
      <c r="J24">
        <v>0.82127364220024301</v>
      </c>
      <c r="K24" s="10">
        <f>(I24-J24)/J24*100</f>
        <v>-1.3518308241949664E-14</v>
      </c>
      <c r="M24" s="7"/>
      <c r="N24" s="3" t="s">
        <v>7</v>
      </c>
      <c r="O24" s="9">
        <f>[1]!AeroTheta_fOATCelsius(oatC)</f>
        <v>0.8212736422002429</v>
      </c>
      <c r="P24">
        <v>0.8212736422002429</v>
      </c>
      <c r="Q24" s="10">
        <f>(O24-P24)/P24*100</f>
        <v>0</v>
      </c>
      <c r="T24" s="3" t="s">
        <v>7</v>
      </c>
      <c r="U24" s="9">
        <f>[1]!AeroTheta_fOATRankine(oatR)</f>
        <v>0.8212736422002429</v>
      </c>
      <c r="V24" s="8">
        <v>0.8212736422002429</v>
      </c>
      <c r="W24" s="10">
        <f>(U24-V24)/V24*100</f>
        <v>0</v>
      </c>
      <c r="Z24" s="3" t="s">
        <v>7</v>
      </c>
      <c r="AA24" s="9">
        <f>[1]!AeroTheta_fOATFahrenheit(oatF)</f>
        <v>0.8212736422002429</v>
      </c>
      <c r="AB24" s="8">
        <v>0.8212736422002429</v>
      </c>
      <c r="AC24" s="10">
        <f>(AA24-AB24)/AB24*100</f>
        <v>0</v>
      </c>
      <c r="AF24" s="3" t="s">
        <v>7</v>
      </c>
      <c r="AG24" s="9">
        <f>[1]!AeroTheta_fISAdevCelsiusHp(isaDevC,hp)</f>
        <v>0.82127364220024301</v>
      </c>
      <c r="AH24" s="8">
        <v>0.82127364220024301</v>
      </c>
      <c r="AI24" s="10">
        <f>(AG24-AH24)/AH24*100</f>
        <v>0</v>
      </c>
      <c r="AL24" s="3" t="s">
        <v>7</v>
      </c>
      <c r="AM24" s="9">
        <f>[1]!AeroTheta_fISAdevFahrenheitHp(isaDevF,hp)</f>
        <v>0.82127364220024301</v>
      </c>
      <c r="AN24" s="8">
        <v>0.82127364220024301</v>
      </c>
      <c r="AO24" s="10">
        <f>(AM24-AN24)/AN24*100</f>
        <v>0</v>
      </c>
    </row>
    <row r="25" spans="1:41" x14ac:dyDescent="0.25">
      <c r="B25" s="3" t="s">
        <v>9</v>
      </c>
      <c r="C25" s="9">
        <f>[1]!AeroSigmaStdDay_fHp(hp)</f>
        <v>0.24616991794383544</v>
      </c>
      <c r="D25" s="8">
        <v>0.24616991794383544</v>
      </c>
      <c r="E25" s="10">
        <f t="shared" si="0"/>
        <v>0</v>
      </c>
      <c r="G25"/>
      <c r="H25" s="3" t="s">
        <v>10</v>
      </c>
      <c r="I25" s="9">
        <f>[1]!AeroSigma_fOATKelvinHp(oatK,hp)</f>
        <v>0.22536536117697847</v>
      </c>
      <c r="J25">
        <v>0.22536536117697847</v>
      </c>
      <c r="K25" s="10">
        <f>(I25-J25)/J25*100</f>
        <v>0</v>
      </c>
      <c r="M25" s="7"/>
      <c r="N25" s="3" t="s">
        <v>10</v>
      </c>
      <c r="O25" s="9">
        <f>[1]!AeroSigma_fOATCelsiusHp(oatC,hp)</f>
        <v>0.22536536117697847</v>
      </c>
      <c r="P25">
        <v>0.22536536117697847</v>
      </c>
      <c r="Q25" s="10">
        <f>(O25-P25)/P25*100</f>
        <v>0</v>
      </c>
      <c r="T25" s="3" t="s">
        <v>10</v>
      </c>
      <c r="U25" s="9">
        <f>[1]!AeroSigma_fOATRankineHp(oatR,hp)</f>
        <v>0.22536536117697847</v>
      </c>
      <c r="V25" s="8">
        <v>0.22536536117697847</v>
      </c>
      <c r="W25" s="10">
        <f>(U25-V25)/V25*100</f>
        <v>0</v>
      </c>
      <c r="Z25" s="3" t="s">
        <v>10</v>
      </c>
      <c r="AA25" s="9">
        <f>[1]!AeroSigma_fOATFahrenheitHp(oatF,hp)</f>
        <v>0.22536536117697847</v>
      </c>
      <c r="AB25" s="8">
        <v>0.22536536117697847</v>
      </c>
      <c r="AC25" s="10">
        <f>(AA25-AB25)/AB25*100</f>
        <v>0</v>
      </c>
      <c r="AF25" s="3" t="s">
        <v>10</v>
      </c>
      <c r="AG25" s="9">
        <f>[1]!AeroSigma_fISAdevCelsiusHp(isaDevC,hp)</f>
        <v>0.22536536117697845</v>
      </c>
      <c r="AH25" s="8">
        <v>0.22536536117697845</v>
      </c>
      <c r="AI25" s="10">
        <f>(AG25-AH25)/AH25*100</f>
        <v>0</v>
      </c>
      <c r="AL25" s="3" t="s">
        <v>10</v>
      </c>
      <c r="AM25" s="9">
        <f>[1]!AeroSigma_fISAdevFahrenheitHp(isaDevF,hp)</f>
        <v>0.22536536117697845</v>
      </c>
      <c r="AN25" s="8">
        <v>0.22536536117697845</v>
      </c>
      <c r="AO25" s="10">
        <f>(AM25-AN25)/AN25*100</f>
        <v>0</v>
      </c>
    </row>
    <row r="26" spans="1:41" x14ac:dyDescent="0.25">
      <c r="B26" s="3" t="s">
        <v>37</v>
      </c>
      <c r="C26" s="9">
        <f>[1]!AeroTapeAlt_ft_fGeoptlAlt(hp)</f>
        <v>40076.865680816394</v>
      </c>
      <c r="D26" s="8">
        <v>40076.865680816394</v>
      </c>
      <c r="E26" s="10">
        <f t="shared" si="0"/>
        <v>0</v>
      </c>
    </row>
    <row r="27" spans="1:41" x14ac:dyDescent="0.25">
      <c r="B27" s="3" t="s">
        <v>38</v>
      </c>
      <c r="C27" s="9">
        <f>[1]!AeroGeoptlAlt_ft_fTapeAlt(C26)</f>
        <v>40000</v>
      </c>
      <c r="D27" s="8">
        <v>40000</v>
      </c>
      <c r="E27" s="10">
        <f t="shared" si="0"/>
        <v>0</v>
      </c>
    </row>
    <row r="28" spans="1:41" x14ac:dyDescent="0.25">
      <c r="B28" s="3" t="s">
        <v>39</v>
      </c>
      <c r="C28" s="9">
        <f>[1]!AeroTapeAlt_meter_fGeoptlAlt(hp*0.3048)</f>
        <v>12215.428659512838</v>
      </c>
      <c r="D28" s="8">
        <v>12215.428659512838</v>
      </c>
      <c r="E28" s="10">
        <f t="shared" si="0"/>
        <v>0</v>
      </c>
    </row>
    <row r="29" spans="1:41" x14ac:dyDescent="0.25">
      <c r="B29" s="3" t="s">
        <v>40</v>
      </c>
      <c r="C29" s="9">
        <f>[1]!AeroGeoptlAlt_meter_fTapeAlt(C28)</f>
        <v>12192</v>
      </c>
      <c r="D29" s="8">
        <v>12192</v>
      </c>
      <c r="E29" s="10">
        <f t="shared" si="0"/>
        <v>0</v>
      </c>
    </row>
    <row r="30" spans="1:41" x14ac:dyDescent="0.25">
      <c r="A30" s="8" t="s">
        <v>102</v>
      </c>
      <c r="C30" s="9"/>
      <c r="E30" s="10"/>
    </row>
    <row r="31" spans="1:41" x14ac:dyDescent="0.25">
      <c r="A31" s="6">
        <v>25000</v>
      </c>
      <c r="B31" s="3" t="s">
        <v>0</v>
      </c>
      <c r="C31" s="9">
        <f>[1]!AeroDelta_fHp(A31)</f>
        <v>0.3710919348490046</v>
      </c>
      <c r="D31" s="8">
        <v>0.3710919348490046</v>
      </c>
      <c r="E31" s="10">
        <f t="shared" ref="E31:E32" si="7">(C31-D31)/D31*100</f>
        <v>0</v>
      </c>
    </row>
    <row r="32" spans="1:41" x14ac:dyDescent="0.25">
      <c r="B32" s="3" t="s">
        <v>12</v>
      </c>
      <c r="C32" s="9">
        <f>[1]!AeroOatStdDay_Kelvin_fHp(A31)</f>
        <v>238.61999999999998</v>
      </c>
      <c r="D32" s="8">
        <v>238.61999999999998</v>
      </c>
      <c r="E32" s="10">
        <f t="shared" si="7"/>
        <v>0</v>
      </c>
    </row>
    <row r="33" spans="1:11" x14ac:dyDescent="0.25">
      <c r="A33" s="8" t="s">
        <v>104</v>
      </c>
      <c r="C33" s="9"/>
      <c r="E33" s="10"/>
    </row>
    <row r="34" spans="1:11" x14ac:dyDescent="0.25">
      <c r="A34" s="6">
        <v>80000</v>
      </c>
      <c r="B34" s="3" t="s">
        <v>0</v>
      </c>
      <c r="C34" s="9">
        <f>[1]!AeroDelta_fHp(A34)</f>
        <v>2.7253637224425878E-2</v>
      </c>
      <c r="D34" s="8">
        <v>2.7253637224425878E-2</v>
      </c>
      <c r="E34" s="10">
        <f t="shared" ref="E34:E35" si="8">(C34-D34)/D34*100</f>
        <v>0</v>
      </c>
    </row>
    <row r="35" spans="1:11" x14ac:dyDescent="0.25">
      <c r="B35" s="3" t="s">
        <v>12</v>
      </c>
      <c r="C35" s="9">
        <f>[1]!AeroOatStdDay_Kelvin_fHp(A34)</f>
        <v>221.03399999999999</v>
      </c>
      <c r="D35" s="8">
        <v>221.03399999999999</v>
      </c>
      <c r="E35" s="10">
        <f t="shared" si="8"/>
        <v>0</v>
      </c>
    </row>
    <row r="36" spans="1:11" x14ac:dyDescent="0.25">
      <c r="A36" s="8" t="s">
        <v>105</v>
      </c>
      <c r="C36" s="9"/>
      <c r="E36" s="10"/>
    </row>
    <row r="37" spans="1:11" x14ac:dyDescent="0.25">
      <c r="A37" s="6">
        <v>125000</v>
      </c>
      <c r="B37" s="3" t="s">
        <v>0</v>
      </c>
      <c r="C37" s="9">
        <f>[1]!AeroDelta_fHp(A37)</f>
        <v>3.5569187575812426E-3</v>
      </c>
      <c r="D37" s="8">
        <v>3.5569187575812426E-3</v>
      </c>
      <c r="E37" s="10">
        <f t="shared" ref="E37:E38" si="9">(C37-D37)/D37*100</f>
        <v>0</v>
      </c>
    </row>
    <row r="38" spans="1:11" x14ac:dyDescent="0.25">
      <c r="B38" s="3" t="s">
        <v>12</v>
      </c>
      <c r="C38" s="9">
        <f>[1]!AeroOatStdDay_Kelvin_fHp(A37)</f>
        <v>245.72999999999996</v>
      </c>
      <c r="D38" s="8">
        <v>245.72999999999996</v>
      </c>
      <c r="E38" s="10">
        <f t="shared" si="9"/>
        <v>0</v>
      </c>
    </row>
    <row r="39" spans="1:11" x14ac:dyDescent="0.25">
      <c r="A39" s="8" t="s">
        <v>106</v>
      </c>
      <c r="C39" s="9"/>
      <c r="E39" s="10"/>
    </row>
    <row r="40" spans="1:11" x14ac:dyDescent="0.25">
      <c r="A40" s="6">
        <v>160000</v>
      </c>
      <c r="B40" s="3" t="s">
        <v>0</v>
      </c>
      <c r="C40" s="9">
        <f>[1]!AeroDelta_fHp(A40)</f>
        <v>8.7562200662368234E-4</v>
      </c>
      <c r="D40" s="8">
        <v>8.7562200662368234E-4</v>
      </c>
      <c r="E40" s="10">
        <f t="shared" ref="E40:E41" si="10">(C40-D40)/D40*100</f>
        <v>0</v>
      </c>
    </row>
    <row r="41" spans="1:11" x14ac:dyDescent="0.25">
      <c r="B41" s="3" t="s">
        <v>12</v>
      </c>
      <c r="C41" s="9">
        <f>[1]!AeroOatStdDay_Kelvin_fHp(A40)</f>
        <v>270.64999999999998</v>
      </c>
      <c r="D41" s="8">
        <v>270.64999999999998</v>
      </c>
      <c r="E41" s="10">
        <f t="shared" si="10"/>
        <v>0</v>
      </c>
    </row>
    <row r="42" spans="1:11" x14ac:dyDescent="0.25">
      <c r="A42" s="7" t="s">
        <v>166</v>
      </c>
      <c r="C42" s="9"/>
      <c r="E42" s="10"/>
      <c r="I42" s="21"/>
    </row>
    <row r="43" spans="1:11" x14ac:dyDescent="0.25">
      <c r="A43" s="6">
        <v>167322.9</v>
      </c>
      <c r="B43" s="3" t="s">
        <v>0</v>
      </c>
      <c r="C43" s="9">
        <f>[1]!AeroDelta_fHp(A43)</f>
        <v>-99999999.999999896</v>
      </c>
      <c r="D43" s="8">
        <v>-99999999.999999896</v>
      </c>
      <c r="E43" s="10">
        <f t="shared" ref="E43:E44" si="11">(C43-D43)/D43*100</f>
        <v>0</v>
      </c>
      <c r="I43" s="21"/>
    </row>
    <row r="44" spans="1:11" x14ac:dyDescent="0.25">
      <c r="B44" s="3" t="s">
        <v>12</v>
      </c>
      <c r="C44" s="9">
        <f>[1]!AeroOatStdDay_Kelvin_fHp(A43)</f>
        <v>-99999999.999999896</v>
      </c>
      <c r="D44" s="8">
        <v>-99999999.999999896</v>
      </c>
      <c r="E44" s="10">
        <f t="shared" si="11"/>
        <v>0</v>
      </c>
    </row>
    <row r="45" spans="1:11" x14ac:dyDescent="0.25">
      <c r="C45" s="3"/>
      <c r="D45" s="3"/>
      <c r="E45" s="3"/>
      <c r="F45" s="3"/>
    </row>
    <row r="46" spans="1:11" x14ac:dyDescent="0.25">
      <c r="A46" s="5" t="s">
        <v>157</v>
      </c>
      <c r="E46" s="11"/>
    </row>
    <row r="47" spans="1:11" x14ac:dyDescent="0.25">
      <c r="A47" s="3" t="s">
        <v>29</v>
      </c>
      <c r="E47" s="11"/>
      <c r="G47" s="3" t="s">
        <v>58</v>
      </c>
      <c r="H47" s="4" t="s">
        <v>56</v>
      </c>
    </row>
    <row r="48" spans="1:11" x14ac:dyDescent="0.25">
      <c r="A48" s="6">
        <v>242.21789999999999</v>
      </c>
      <c r="B48" s="3" t="s">
        <v>30</v>
      </c>
      <c r="C48" s="9">
        <f>[1]!AeroMach_fHpKCAS(hp,KCAS)</f>
        <v>0.799999813026392</v>
      </c>
      <c r="D48" s="8">
        <v>0.799999813026392</v>
      </c>
      <c r="E48" s="10">
        <f t="shared" ref="E48:E53" si="12">(C48-D48)/D48*100</f>
        <v>0</v>
      </c>
      <c r="H48" s="3" t="s">
        <v>42</v>
      </c>
      <c r="I48" s="9">
        <f>[1]!AeroKTAS_fHpKCASOATKelvin(hp,KCAS, oatK)</f>
        <v>479.56736670483099</v>
      </c>
      <c r="J48">
        <v>479.56736670483099</v>
      </c>
      <c r="K48" s="10">
        <f>(I48-J48)/J48*100</f>
        <v>0</v>
      </c>
    </row>
    <row r="49" spans="1:41" x14ac:dyDescent="0.25">
      <c r="B49" s="3" t="s">
        <v>31</v>
      </c>
      <c r="C49" s="9">
        <f>[1]!AeroKEAS_fHpKCAS(hp,KCAS)</f>
        <v>227.66339376521174</v>
      </c>
      <c r="D49" s="8">
        <v>227.66339376521174</v>
      </c>
      <c r="E49" s="10">
        <f t="shared" si="12"/>
        <v>0</v>
      </c>
      <c r="H49" s="3" t="s">
        <v>15</v>
      </c>
      <c r="I49" s="9">
        <f>[1]!AeroKTAS_fHpKCASOATCelsius(hp,KCAS, oatC)</f>
        <v>479.56736670483099</v>
      </c>
      <c r="J49">
        <v>479.56736670483099</v>
      </c>
      <c r="K49" s="10">
        <f>(I49-J49)/J49*100</f>
        <v>0</v>
      </c>
    </row>
    <row r="50" spans="1:41" x14ac:dyDescent="0.25">
      <c r="B50" s="3" t="s">
        <v>32</v>
      </c>
      <c r="C50" s="9">
        <f>[1]!AeroKTASStdDay_fHpKCAS(hp,KCAS)</f>
        <v>458.85526063357293</v>
      </c>
      <c r="D50" s="8">
        <v>458.85526063357293</v>
      </c>
      <c r="E50" s="10">
        <f t="shared" si="12"/>
        <v>0</v>
      </c>
      <c r="H50" s="3" t="s">
        <v>45</v>
      </c>
      <c r="I50" s="9">
        <f>[1]!AeroKTAS_fHpKCASOATRankine(hp,KCAS, oatR)</f>
        <v>479.56736670483099</v>
      </c>
      <c r="J50">
        <v>479.56736670483099</v>
      </c>
      <c r="K50" s="10">
        <f>(I50-J50)/J50*100</f>
        <v>0</v>
      </c>
    </row>
    <row r="51" spans="1:41" x14ac:dyDescent="0.25">
      <c r="B51" s="3" t="s">
        <v>35</v>
      </c>
      <c r="C51" s="9">
        <f>[1]!AeroQ_lbfPerFt2_fHpKCAS(hp,KCAS)</f>
        <v>175.47408357024452</v>
      </c>
      <c r="D51" s="8">
        <v>175.47408357024452</v>
      </c>
      <c r="E51" s="10">
        <f t="shared" si="12"/>
        <v>0</v>
      </c>
      <c r="H51" s="3" t="s">
        <v>17</v>
      </c>
      <c r="I51" s="9">
        <f>[1]!AeroKTAS_fHpKCASOATFahrenheit(hp,KCAS, oatF)</f>
        <v>479.56736670483099</v>
      </c>
      <c r="J51">
        <v>479.56736670483099</v>
      </c>
      <c r="K51" s="10">
        <f>(I51-J51)/J51*100</f>
        <v>0</v>
      </c>
    </row>
    <row r="52" spans="1:41" x14ac:dyDescent="0.25">
      <c r="B52" s="3" t="s">
        <v>36</v>
      </c>
      <c r="C52" s="9">
        <f>[1]!AeroQc_lbfPerFt2_fKCAS(KCAS)</f>
        <v>205.37516965807154</v>
      </c>
      <c r="D52" s="8">
        <v>205.37516965807154</v>
      </c>
      <c r="E52" s="10">
        <f t="shared" si="12"/>
        <v>0</v>
      </c>
      <c r="H52" s="3" t="s">
        <v>46</v>
      </c>
      <c r="I52" s="9">
        <f>AeroKTAS_fHpKCASisadevcelsius(hp,KCAS,isaDevC)</f>
        <v>479.56736670483099</v>
      </c>
      <c r="J52">
        <v>479.56736670483099</v>
      </c>
      <c r="K52" s="10">
        <f t="shared" ref="K52:K53" si="13">(I52-J52)/J52*100</f>
        <v>0</v>
      </c>
    </row>
    <row r="53" spans="1:41" x14ac:dyDescent="0.25">
      <c r="B53" s="3" t="s">
        <v>41</v>
      </c>
      <c r="C53" s="9">
        <f>[1]!AeroCompCorrnKCASminusKEAS_fHpKCAS(hp, KCAS)</f>
        <v>14.554506234788249</v>
      </c>
      <c r="D53" s="8">
        <v>14.554506234788249</v>
      </c>
      <c r="E53" s="10">
        <f t="shared" si="12"/>
        <v>0</v>
      </c>
      <c r="H53" s="3" t="s">
        <v>49</v>
      </c>
      <c r="I53" s="9">
        <f>AeroKTAS_fHpKCASisadevfahrenheit(hp,KCAS,isaDevF)</f>
        <v>479.56736670483099</v>
      </c>
      <c r="J53">
        <v>479.56736670483099</v>
      </c>
      <c r="K53" s="10">
        <f t="shared" si="13"/>
        <v>0</v>
      </c>
    </row>
    <row r="54" spans="1:41" x14ac:dyDescent="0.25">
      <c r="E54" s="11"/>
    </row>
    <row r="55" spans="1:41" x14ac:dyDescent="0.25">
      <c r="A55" s="3" t="s">
        <v>31</v>
      </c>
      <c r="E55" s="11"/>
      <c r="G55" s="3" t="s">
        <v>57</v>
      </c>
      <c r="H55" s="4" t="s">
        <v>56</v>
      </c>
    </row>
    <row r="56" spans="1:41" x14ac:dyDescent="0.25">
      <c r="A56" s="6">
        <v>227.65700000000001</v>
      </c>
      <c r="B56" s="3" t="s">
        <v>30</v>
      </c>
      <c r="C56" s="9">
        <f>[1]!AeroMach_fHpKEAS(hp,KEAS)</f>
        <v>0.79997733968013274</v>
      </c>
      <c r="D56" s="8">
        <v>0.79997733968013274</v>
      </c>
      <c r="E56" s="10">
        <f t="shared" ref="E56:E61" si="14">(C56-D56)/D56*100</f>
        <v>0</v>
      </c>
      <c r="H56" s="3" t="s">
        <v>42</v>
      </c>
      <c r="I56" s="9">
        <f>[1]!AeroKTAS_fHpKEASOATKelvin(hp,KEAS, oatK)</f>
        <v>479.5538948473241</v>
      </c>
      <c r="J56">
        <v>479.5538948473241</v>
      </c>
      <c r="K56" s="10">
        <f>(I56-J56)/J56*100</f>
        <v>0</v>
      </c>
      <c r="M56" s="21"/>
    </row>
    <row r="57" spans="1:41" x14ac:dyDescent="0.25">
      <c r="B57" s="3" t="s">
        <v>29</v>
      </c>
      <c r="C57" s="9">
        <f>[1]!AeroKCAS_fHpKEAS(hp,KEAS)</f>
        <v>242.21029880590126</v>
      </c>
      <c r="D57" s="8">
        <v>242.21029880590126</v>
      </c>
      <c r="E57" s="10">
        <f t="shared" si="14"/>
        <v>0</v>
      </c>
      <c r="H57" s="3" t="s">
        <v>15</v>
      </c>
      <c r="I57" s="9">
        <f>[1]!AeroKTAS_fHpKEASOATCelsius(hp,KEAS, oatC)</f>
        <v>479.5538948473241</v>
      </c>
      <c r="J57">
        <v>479.5538948473241</v>
      </c>
      <c r="K57" s="10">
        <f>(I57-J57)/J57*100</f>
        <v>0</v>
      </c>
      <c r="M57" s="21"/>
    </row>
    <row r="58" spans="1:41" x14ac:dyDescent="0.25">
      <c r="B58" s="3" t="s">
        <v>32</v>
      </c>
      <c r="C58" s="9">
        <f>[1]!AeroKTASStdDay_fHpKEAS(hp,KEAS)</f>
        <v>458.84237400848076</v>
      </c>
      <c r="D58" s="8">
        <v>458.84237400848076</v>
      </c>
      <c r="E58" s="10">
        <f t="shared" si="14"/>
        <v>0</v>
      </c>
      <c r="H58" s="3" t="s">
        <v>45</v>
      </c>
      <c r="I58" s="9">
        <f>[1]!AeroKTAS_fHpKEASOATRankine(hp,KEAS, oatR)</f>
        <v>479.5538948473241</v>
      </c>
      <c r="J58">
        <v>479.5538948473241</v>
      </c>
      <c r="K58" s="10">
        <f>(I58-J58)/J58*100</f>
        <v>0</v>
      </c>
    </row>
    <row r="59" spans="1:41" x14ac:dyDescent="0.25">
      <c r="B59" s="3" t="s">
        <v>35</v>
      </c>
      <c r="C59" s="9">
        <f>[1]!AeroQ_lbfPerFt2_fKEAS(KEAS)</f>
        <v>175.46422498181551</v>
      </c>
      <c r="D59" s="8">
        <v>175.46422498181551</v>
      </c>
      <c r="E59" s="10">
        <f t="shared" si="14"/>
        <v>0</v>
      </c>
      <c r="H59" s="3" t="s">
        <v>17</v>
      </c>
      <c r="I59" s="9">
        <f>[1]!AeroKTAS_fHpKEASOATFahrenheit(hp,KEAS, oatF)</f>
        <v>479.5538948473241</v>
      </c>
      <c r="J59">
        <v>479.5538948473241</v>
      </c>
      <c r="K59" s="10">
        <f>(I59-J59)/J59*100</f>
        <v>0</v>
      </c>
    </row>
    <row r="60" spans="1:41" x14ac:dyDescent="0.25">
      <c r="B60" s="3" t="s">
        <v>36</v>
      </c>
      <c r="C60" s="9">
        <f>[1]!AeroQc_lbfPerFt2_fHpKEAS(hp, KEAS)</f>
        <v>205.36184721212422</v>
      </c>
      <c r="D60" s="8">
        <v>205.36184721212422</v>
      </c>
      <c r="E60" s="10">
        <f t="shared" si="14"/>
        <v>0</v>
      </c>
      <c r="H60" s="3" t="s">
        <v>46</v>
      </c>
      <c r="I60" s="9">
        <f>aeroktas_fhpkeasisadevcelsius(hp,KEAS,isaDevC)</f>
        <v>479.5538948473241</v>
      </c>
      <c r="J60">
        <v>479.5538948473241</v>
      </c>
      <c r="K60" s="10">
        <f t="shared" ref="K60:K61" si="15">(I60-J60)/J60*100</f>
        <v>0</v>
      </c>
    </row>
    <row r="61" spans="1:41" x14ac:dyDescent="0.25">
      <c r="B61" s="3" t="s">
        <v>41</v>
      </c>
      <c r="C61" s="9">
        <f>[1]!AeroCompCorrnKCASminusKEAS_fHpKEAS(hp, KEAS)</f>
        <v>14.55329880590125</v>
      </c>
      <c r="D61" s="8">
        <v>14.55329880590125</v>
      </c>
      <c r="E61" s="10">
        <f t="shared" si="14"/>
        <v>0</v>
      </c>
      <c r="H61" s="3" t="s">
        <v>49</v>
      </c>
      <c r="I61" s="9">
        <f>aeroktas_fhpkeasisadevfahrenheit(hp,KEAS,isaDevF)</f>
        <v>479.5538948473241</v>
      </c>
      <c r="J61">
        <v>479.5538948473241</v>
      </c>
      <c r="K61" s="10">
        <f t="shared" si="15"/>
        <v>0</v>
      </c>
    </row>
    <row r="62" spans="1:41" x14ac:dyDescent="0.25">
      <c r="E62" s="11"/>
    </row>
    <row r="63" spans="1:41" x14ac:dyDescent="0.25">
      <c r="A63" s="3" t="s">
        <v>33</v>
      </c>
      <c r="E63" s="11"/>
      <c r="H63" s="4" t="s">
        <v>209</v>
      </c>
      <c r="I63" s="5"/>
      <c r="J63" s="5"/>
      <c r="K63" s="5"/>
      <c r="M63" s="4"/>
      <c r="N63" s="4" t="s">
        <v>210</v>
      </c>
      <c r="O63" s="5"/>
      <c r="P63" s="19"/>
      <c r="Q63"/>
      <c r="T63" s="4" t="s">
        <v>211</v>
      </c>
      <c r="U63" s="5"/>
      <c r="V63" s="5"/>
      <c r="W63" s="5"/>
      <c r="Z63" s="4" t="s">
        <v>212</v>
      </c>
      <c r="AA63" s="5"/>
      <c r="AB63" s="5"/>
      <c r="AC63" s="5"/>
      <c r="AF63" s="4" t="s">
        <v>213</v>
      </c>
      <c r="AG63" s="5"/>
      <c r="AH63" s="5"/>
      <c r="AI63" s="5"/>
      <c r="AL63" s="4" t="s">
        <v>214</v>
      </c>
      <c r="AM63" s="5"/>
      <c r="AN63" s="5"/>
      <c r="AO63" s="5"/>
    </row>
    <row r="64" spans="1:41" x14ac:dyDescent="0.25">
      <c r="A64" s="6">
        <v>458.85500000000002</v>
      </c>
      <c r="B64" s="3" t="s">
        <v>30</v>
      </c>
      <c r="C64" s="9">
        <f>[1]!AeroMachStdDay_fHpKTAS(hp,KTAS)</f>
        <v>0.79999935861989935</v>
      </c>
      <c r="D64" s="8">
        <v>0.79999935861989935</v>
      </c>
      <c r="E64" s="10">
        <f t="shared" ref="E64:E68" si="16">(C64-D64)/D64*100</f>
        <v>0</v>
      </c>
      <c r="H64" s="3" t="s">
        <v>52</v>
      </c>
      <c r="I64" s="9">
        <f>[1]!AeroMach_fKTASOATKelvin(I57, oatK)</f>
        <v>0.79997733968013274</v>
      </c>
      <c r="J64" s="8">
        <v>0.79997733968013263</v>
      </c>
      <c r="K64" s="10">
        <f t="shared" ref="K64:K68" si="17">(I64-J64)/J64*100</f>
        <v>1.3878180912837786E-14</v>
      </c>
      <c r="M64" s="3"/>
      <c r="N64" s="3" t="s">
        <v>52</v>
      </c>
      <c r="O64" s="9">
        <f>[1]!AeroMach_fKtasOatCelsius(I57, oatC)</f>
        <v>0.79997733968013274</v>
      </c>
      <c r="P64">
        <v>0.79997733968013274</v>
      </c>
      <c r="Q64" s="10">
        <f t="shared" ref="Q64:Q68" si="18">(O64-P64)/P64*100</f>
        <v>0</v>
      </c>
      <c r="T64" s="3" t="s">
        <v>52</v>
      </c>
      <c r="U64" s="9">
        <f>[1]!AeroMach_fKTASOATRankine(I57, oatR)</f>
        <v>0.79997733968013274</v>
      </c>
      <c r="V64" s="8">
        <v>0.79997733968013263</v>
      </c>
      <c r="W64" s="10">
        <f t="shared" ref="W64:W68" si="19">(U64-V64)/V64*100</f>
        <v>1.3878180912837786E-14</v>
      </c>
      <c r="Z64" s="3" t="s">
        <v>52</v>
      </c>
      <c r="AA64" s="9">
        <f>[1]!AeroMach_fKTASOATFahrenheit(I57, oatF)</f>
        <v>0.79997733968013274</v>
      </c>
      <c r="AB64" s="8">
        <v>0.79997733968013263</v>
      </c>
      <c r="AC64" s="10">
        <f t="shared" ref="AC64:AC68" si="20">(AA64-AB64)/AB64*100</f>
        <v>1.3878180912837786E-14</v>
      </c>
      <c r="AF64" s="3" t="s">
        <v>52</v>
      </c>
      <c r="AG64" s="9">
        <f>[1]!AeroMach_fHpKtasIsaDevCelsius(hp, I57, isaDevC)</f>
        <v>0.79997733968013274</v>
      </c>
      <c r="AH64" s="8">
        <v>0.79997733968013263</v>
      </c>
      <c r="AI64" s="10">
        <f t="shared" ref="AI64:AI68" si="21">(AG64-AH64)/AH64*100</f>
        <v>1.3878180912837786E-14</v>
      </c>
      <c r="AL64" s="3" t="s">
        <v>52</v>
      </c>
      <c r="AM64" s="9">
        <f>[1]!AeroMach_fHpKTASISAdevFahrenheit(hp, I57, isaDevF)</f>
        <v>0.79997733968013274</v>
      </c>
      <c r="AN64" s="8">
        <v>0.79997733968013263</v>
      </c>
      <c r="AO64" s="10">
        <f t="shared" ref="AO64:AO68" si="22">(AM64-AN64)/AN64*100</f>
        <v>1.3878180912837786E-14</v>
      </c>
    </row>
    <row r="65" spans="1:41" x14ac:dyDescent="0.25">
      <c r="B65" s="3" t="s">
        <v>31</v>
      </c>
      <c r="C65" s="9">
        <f>[1]!AeroKEASStdDay_fHpKTAS(hp,KTAS)</f>
        <v>227.66326445052619</v>
      </c>
      <c r="D65" s="8">
        <v>227.66326445052619</v>
      </c>
      <c r="E65" s="10">
        <f t="shared" si="16"/>
        <v>0</v>
      </c>
      <c r="H65" s="3" t="s">
        <v>51</v>
      </c>
      <c r="I65" s="9">
        <f>[1]!AeroKEAS_fHpKTASOATKelvin(hp,I57, oatK)</f>
        <v>227.65699831586869</v>
      </c>
      <c r="J65" s="8">
        <v>227.65699831586866</v>
      </c>
      <c r="K65" s="10">
        <f t="shared" si="17"/>
        <v>1.2484443544744256E-14</v>
      </c>
      <c r="M65" s="3"/>
      <c r="N65" s="3" t="s">
        <v>51</v>
      </c>
      <c r="O65" s="9">
        <f>[1]!AeroKEAS_fHpKTASOATCelsius(hp,I57, oatC)</f>
        <v>227.65699831586869</v>
      </c>
      <c r="P65">
        <v>227.65699831586869</v>
      </c>
      <c r="Q65" s="10">
        <f t="shared" si="18"/>
        <v>0</v>
      </c>
      <c r="T65" s="3" t="s">
        <v>51</v>
      </c>
      <c r="U65" s="9">
        <f>[1]!AeroKEAS_fHpKTASOATRankine(hp,I57, oatR)</f>
        <v>227.65699831586869</v>
      </c>
      <c r="V65" s="8">
        <v>227.65699831586866</v>
      </c>
      <c r="W65" s="10">
        <f t="shared" si="19"/>
        <v>1.2484443544744256E-14</v>
      </c>
      <c r="Z65" s="3" t="s">
        <v>51</v>
      </c>
      <c r="AA65" s="9">
        <f>[1]!AeroKEAS_fHpKTASOATFahrenheit(hp,I57, oatF)</f>
        <v>227.65699831586869</v>
      </c>
      <c r="AB65" s="8">
        <v>227.65699831586866</v>
      </c>
      <c r="AC65" s="10">
        <f t="shared" si="20"/>
        <v>1.2484443544744256E-14</v>
      </c>
      <c r="AF65" s="3" t="s">
        <v>51</v>
      </c>
      <c r="AG65" s="9">
        <f>[1]!AeroKEAS_fHpKTASISAdevCelsius(hp, I57, isaDevC)</f>
        <v>227.65699831586869</v>
      </c>
      <c r="AH65" s="8">
        <v>227.65699831586866</v>
      </c>
      <c r="AI65" s="10">
        <f t="shared" si="21"/>
        <v>1.2484443544744256E-14</v>
      </c>
      <c r="AL65" s="3" t="s">
        <v>51</v>
      </c>
      <c r="AM65" s="9">
        <f>[1]!AeroKEAS_fHpKTASISAdevFahrenheit(hp, I57, isaDevF)</f>
        <v>227.65699831586869</v>
      </c>
      <c r="AN65" s="8">
        <v>227.65699831586866</v>
      </c>
      <c r="AO65" s="10">
        <f t="shared" si="22"/>
        <v>1.2484443544744256E-14</v>
      </c>
    </row>
    <row r="66" spans="1:41" x14ac:dyDescent="0.25">
      <c r="B66" s="3" t="s">
        <v>29</v>
      </c>
      <c r="C66" s="9">
        <f>[1]!AeroKCASStdDay_fHpKTAS(hp,KTAS)</f>
        <v>242.21774626427401</v>
      </c>
      <c r="D66" s="8">
        <v>242.21774626427401</v>
      </c>
      <c r="E66" s="10">
        <f t="shared" si="16"/>
        <v>0</v>
      </c>
      <c r="H66" s="3" t="s">
        <v>53</v>
      </c>
      <c r="I66" s="9">
        <f>[1]!AeroKCAS_fHpKTASOATKelvin(hp,I57, oatK)</f>
        <v>242.21029680373937</v>
      </c>
      <c r="J66" s="8">
        <v>242.21029680373937</v>
      </c>
      <c r="K66" s="10">
        <f t="shared" si="17"/>
        <v>0</v>
      </c>
      <c r="M66" s="3"/>
      <c r="N66" s="3" t="s">
        <v>53</v>
      </c>
      <c r="O66" s="9">
        <f>[1]!AeroKcas_fHpKtasOatCelsius(hp,I57, oatC)</f>
        <v>242.21029680373937</v>
      </c>
      <c r="P66">
        <v>242.21029680373937</v>
      </c>
      <c r="Q66" s="10">
        <f t="shared" si="18"/>
        <v>0</v>
      </c>
      <c r="T66" s="3" t="s">
        <v>53</v>
      </c>
      <c r="U66" s="9">
        <f>[1]!AeroKCAS_fHpKTASOATrANKINE(hp,I57, oatR)</f>
        <v>242.21029680373937</v>
      </c>
      <c r="V66" s="8">
        <v>242.21029680373937</v>
      </c>
      <c r="W66" s="10">
        <f t="shared" si="19"/>
        <v>0</v>
      </c>
      <c r="Z66" s="3" t="s">
        <v>53</v>
      </c>
      <c r="AA66" s="9">
        <f>[1]!AeroKCAS_fHpKTASOATFahrenheit(hp,I57, oatF)</f>
        <v>242.21029680373937</v>
      </c>
      <c r="AB66" s="8">
        <v>242.21029680373937</v>
      </c>
      <c r="AC66" s="10">
        <f t="shared" si="20"/>
        <v>0</v>
      </c>
      <c r="AF66" s="3" t="s">
        <v>53</v>
      </c>
      <c r="AG66" s="9">
        <f>[1]!AeroKCAS_fHpKTASISAdevCelsius(hp, I57, isaDevC)</f>
        <v>242.21029680373937</v>
      </c>
      <c r="AH66" s="8">
        <v>242.21029680373937</v>
      </c>
      <c r="AI66" s="10">
        <f t="shared" si="21"/>
        <v>0</v>
      </c>
      <c r="AL66" s="3" t="s">
        <v>53</v>
      </c>
      <c r="AM66" s="9">
        <f>[1]!AeroKCAS_fHpKTASISAdevFahrenheit(hp, I57, isaDevF)</f>
        <v>242.21029680373937</v>
      </c>
      <c r="AN66" s="8">
        <v>242.21029680373937</v>
      </c>
      <c r="AO66" s="10">
        <f t="shared" si="22"/>
        <v>0</v>
      </c>
    </row>
    <row r="67" spans="1:41" x14ac:dyDescent="0.25">
      <c r="B67" s="3" t="s">
        <v>35</v>
      </c>
      <c r="C67" s="9">
        <f>[1]!AeroQStdDay_lbfPerFt2_fHpKTAS(hp,KTAS)</f>
        <v>175.47388422884737</v>
      </c>
      <c r="D67" s="8">
        <v>175.47388422884737</v>
      </c>
      <c r="E67" s="10">
        <f t="shared" si="16"/>
        <v>0</v>
      </c>
      <c r="H67" s="3" t="s">
        <v>54</v>
      </c>
      <c r="I67" s="9">
        <f>[1]!AeroQ_lbfPerFt2_fHpKTASOATKelvin(hp,I57, oatK)</f>
        <v>175.46422498181553</v>
      </c>
      <c r="J67" s="8">
        <v>175.46422498181545</v>
      </c>
      <c r="K67" s="10">
        <f t="shared" si="17"/>
        <v>4.859402439445911E-14</v>
      </c>
      <c r="M67" s="3"/>
      <c r="N67" s="3" t="s">
        <v>54</v>
      </c>
      <c r="O67" s="9">
        <f>[1]!AeroQ_lbfPerFt2_fHpKTASOATCelsius(hp,I57, oatC)</f>
        <v>175.46422498181553</v>
      </c>
      <c r="P67">
        <v>175.46422498181553</v>
      </c>
      <c r="Q67" s="10">
        <f t="shared" si="18"/>
        <v>0</v>
      </c>
      <c r="T67" s="3" t="s">
        <v>54</v>
      </c>
      <c r="U67" s="9">
        <f>[1]!AeroQ_lbfPerFt2_fHpKTASOATRankine(hp,I57, oatR)</f>
        <v>175.46422498181553</v>
      </c>
      <c r="V67" s="8">
        <v>175.46422498181545</v>
      </c>
      <c r="W67" s="10">
        <f t="shared" si="19"/>
        <v>4.859402439445911E-14</v>
      </c>
      <c r="Z67" s="3" t="s">
        <v>54</v>
      </c>
      <c r="AA67" s="9">
        <f>[1]!AeroQ_lbfPerFt2_fHpKTASOATFahrenheit(hp,I57, oatF)</f>
        <v>175.46422498181553</v>
      </c>
      <c r="AB67" s="8">
        <v>175.46422498181545</v>
      </c>
      <c r="AC67" s="10">
        <f t="shared" si="20"/>
        <v>4.859402439445911E-14</v>
      </c>
      <c r="AF67" s="3" t="s">
        <v>54</v>
      </c>
      <c r="AG67" s="9">
        <f>[1]!AeroQ_lbfPerFt2_fHpKTASISAdevCelsius(hp, I57, isaDevC)</f>
        <v>175.46422498181553</v>
      </c>
      <c r="AH67" s="8">
        <v>175.46422498181545</v>
      </c>
      <c r="AI67" s="10">
        <f t="shared" si="21"/>
        <v>4.859402439445911E-14</v>
      </c>
      <c r="AL67" s="3" t="s">
        <v>54</v>
      </c>
      <c r="AM67" s="9">
        <f>[1]!AeroQ_lbfPerFt2_fHpKTASISAdevFahrenheit(hp, I57, isaDevF)</f>
        <v>175.46422498181553</v>
      </c>
      <c r="AN67" s="8">
        <v>175.46422498181545</v>
      </c>
      <c r="AO67" s="10">
        <f t="shared" si="22"/>
        <v>4.859402439445911E-14</v>
      </c>
    </row>
    <row r="68" spans="1:41" x14ac:dyDescent="0.25">
      <c r="B68" s="3" t="s">
        <v>36</v>
      </c>
      <c r="C68" s="9">
        <f>[1]!AeroQcStdDay_lbfPerFt2_fHpKTAS(hp,KTAS)</f>
        <v>205.37490027511242</v>
      </c>
      <c r="D68" s="8">
        <v>205.37490027511242</v>
      </c>
      <c r="E68" s="10">
        <f t="shared" si="16"/>
        <v>0</v>
      </c>
      <c r="H68" s="3" t="s">
        <v>55</v>
      </c>
      <c r="I68" s="9">
        <f>[1]!AeroQc_lbfPerFt2_fHpKTASOATKelvin(hp,I57, oatK)</f>
        <v>205.36184721212422</v>
      </c>
      <c r="J68" s="8">
        <v>205.36184721212422</v>
      </c>
      <c r="K68" s="10">
        <f t="shared" si="17"/>
        <v>0</v>
      </c>
      <c r="M68" s="3"/>
      <c r="N68" s="3" t="s">
        <v>55</v>
      </c>
      <c r="O68" s="9">
        <f>[1]!AeroQc_lbfPerFt2_fHpKTASOATCelsius(hp,I57, oatC)</f>
        <v>205.36184721212422</v>
      </c>
      <c r="P68">
        <v>205.36184721212422</v>
      </c>
      <c r="Q68" s="10">
        <f t="shared" si="18"/>
        <v>0</v>
      </c>
      <c r="T68" s="3" t="s">
        <v>55</v>
      </c>
      <c r="U68" s="9">
        <f>[1]!AeroQc_lbfPerFt2_fHpKTASOATRankine(hp,I57, oatR)</f>
        <v>205.36184721212422</v>
      </c>
      <c r="V68" s="8">
        <v>205.36184721212422</v>
      </c>
      <c r="W68" s="10">
        <f t="shared" si="19"/>
        <v>0</v>
      </c>
      <c r="Z68" s="3" t="s">
        <v>55</v>
      </c>
      <c r="AA68" s="9">
        <f>[1]!AeroQc_lbfPerFt2_fHpKTASOATFahrenheit(hp,I57, oatF)</f>
        <v>205.36184721212422</v>
      </c>
      <c r="AB68" s="8">
        <v>205.36184721212422</v>
      </c>
      <c r="AC68" s="10">
        <f t="shared" si="20"/>
        <v>0</v>
      </c>
      <c r="AF68" s="3" t="s">
        <v>55</v>
      </c>
      <c r="AG68" s="9">
        <f>[1]!AeroQc_lbfPerFt2_fHpKTASISAdevCelsius(hp, I57, isaDevC)</f>
        <v>205.36184721212422</v>
      </c>
      <c r="AH68" s="8">
        <v>205.36184721212422</v>
      </c>
      <c r="AI68" s="10">
        <f t="shared" si="21"/>
        <v>0</v>
      </c>
      <c r="AL68" s="3" t="s">
        <v>55</v>
      </c>
      <c r="AM68" s="9">
        <f>[1]!AeroQc_lbfPerFt2_fHpKTASISAdevFahrenheit(hp, I57, isaDevF)</f>
        <v>205.36184721212422</v>
      </c>
      <c r="AN68" s="8">
        <v>205.36184721212422</v>
      </c>
      <c r="AO68" s="10">
        <f t="shared" si="22"/>
        <v>0</v>
      </c>
    </row>
    <row r="69" spans="1:41" x14ac:dyDescent="0.25">
      <c r="E69" s="11"/>
    </row>
    <row r="70" spans="1:41" x14ac:dyDescent="0.25">
      <c r="A70" s="3" t="s">
        <v>30</v>
      </c>
      <c r="E70" s="11"/>
      <c r="G70" s="3" t="s">
        <v>59</v>
      </c>
      <c r="H70" s="4" t="s">
        <v>56</v>
      </c>
    </row>
    <row r="71" spans="1:41" x14ac:dyDescent="0.25">
      <c r="A71" s="6">
        <v>2</v>
      </c>
      <c r="B71" s="3" t="s">
        <v>32</v>
      </c>
      <c r="C71" s="9">
        <f>[1]!AeroKTASStdDay_fHpMach(hp,Mach)</f>
        <v>1147.1384196896938</v>
      </c>
      <c r="D71" s="8">
        <v>1147.1384196896938</v>
      </c>
      <c r="E71" s="10">
        <f t="shared" ref="E71:E75" si="23">(C71-D71)/D71*100</f>
        <v>0</v>
      </c>
      <c r="H71" s="3" t="s">
        <v>42</v>
      </c>
      <c r="I71" s="9">
        <f>[1]!AeroKTAS_fMachOATKelvin(Mach, oatK)</f>
        <v>1198.9186969697705</v>
      </c>
      <c r="J71">
        <v>1198.9186969697705</v>
      </c>
      <c r="K71" s="10">
        <f>(I71-J71)/J71*100</f>
        <v>0</v>
      </c>
    </row>
    <row r="72" spans="1:41" x14ac:dyDescent="0.25">
      <c r="B72" s="3" t="s">
        <v>31</v>
      </c>
      <c r="C72" s="9">
        <f>[1]!AeroKEAS_fHpMach(hp, Mach)</f>
        <v>569.15861743507958</v>
      </c>
      <c r="D72" s="8">
        <v>569.15861743507958</v>
      </c>
      <c r="E72" s="10">
        <f t="shared" si="23"/>
        <v>0</v>
      </c>
      <c r="H72" s="3" t="s">
        <v>15</v>
      </c>
      <c r="I72" s="9">
        <f>[1]!AeroKTAS_fMachOATCelsius(Mach, oatC)</f>
        <v>1198.9186969697705</v>
      </c>
      <c r="J72">
        <v>1198.9186969697705</v>
      </c>
      <c r="K72" s="10">
        <f>(I72-J72)/J72*100</f>
        <v>0</v>
      </c>
    </row>
    <row r="73" spans="1:41" x14ac:dyDescent="0.25">
      <c r="B73" s="3" t="s">
        <v>29</v>
      </c>
      <c r="C73" s="9">
        <f>[1]!AeroKCAS_fHpMach(hp,Mach)</f>
        <v>651.13397575475301</v>
      </c>
      <c r="D73" s="8">
        <v>651.13397575475301</v>
      </c>
      <c r="E73" s="10">
        <f t="shared" si="23"/>
        <v>0</v>
      </c>
      <c r="H73" s="3" t="s">
        <v>45</v>
      </c>
      <c r="I73" s="9">
        <f>[1]!AeroKTAS_fMachOATRankine(Mach, oatR)</f>
        <v>1198.9186969697705</v>
      </c>
      <c r="J73">
        <v>1198.9186969697705</v>
      </c>
      <c r="K73" s="10">
        <f>(I73-J73)/J73*100</f>
        <v>0</v>
      </c>
    </row>
    <row r="74" spans="1:41" x14ac:dyDescent="0.25">
      <c r="B74" s="3" t="s">
        <v>35</v>
      </c>
      <c r="C74" s="9">
        <f>[1]!AeroQ_lbfPerFt2_fHpMach(hp,Mach)</f>
        <v>1096.7135349551847</v>
      </c>
      <c r="D74" s="8">
        <v>1096.7135349551847</v>
      </c>
      <c r="E74" s="10">
        <f t="shared" si="23"/>
        <v>0</v>
      </c>
      <c r="H74" s="3" t="s">
        <v>17</v>
      </c>
      <c r="I74" s="9">
        <f>[1]!AeroKTAS_fMachOATFahrenheit(Mach, oatF)</f>
        <v>1198.9186969697705</v>
      </c>
      <c r="J74">
        <v>1198.9186969697705</v>
      </c>
      <c r="K74" s="10">
        <f>(I74-J74)/J74*100</f>
        <v>0</v>
      </c>
    </row>
    <row r="75" spans="1:41" x14ac:dyDescent="0.25">
      <c r="B75" s="3" t="s">
        <v>36</v>
      </c>
      <c r="C75" s="9">
        <f>[1]!AeroQc_lbfPerFt2_fHpMach(hp,Mach)</f>
        <v>1817.5836598506326</v>
      </c>
      <c r="D75" s="8">
        <v>1817.5836598506326</v>
      </c>
      <c r="E75" s="10">
        <f t="shared" si="23"/>
        <v>0</v>
      </c>
      <c r="H75" s="3" t="s">
        <v>46</v>
      </c>
      <c r="I75" s="9">
        <f>AeroKTAS_fMachHpISAdevCelsius(Mach, hp, isaDevC)</f>
        <v>1198.9186969697705</v>
      </c>
      <c r="J75">
        <v>1198.9186969697705</v>
      </c>
      <c r="K75" s="10">
        <f t="shared" ref="K75:K76" si="24">(I75-J75)/J75*100</f>
        <v>0</v>
      </c>
    </row>
    <row r="76" spans="1:41" x14ac:dyDescent="0.25">
      <c r="E76" s="11"/>
      <c r="H76" s="3" t="s">
        <v>49</v>
      </c>
      <c r="I76" s="9">
        <f>[1]!AeroKTAS_fMachHpISAdevFahrenheit(Mach, hp, isaDevF)</f>
        <v>1198.9186969697705</v>
      </c>
      <c r="J76">
        <v>1198.9186969697705</v>
      </c>
      <c r="K76" s="10">
        <f t="shared" si="24"/>
        <v>0</v>
      </c>
    </row>
    <row r="77" spans="1:41" x14ac:dyDescent="0.25">
      <c r="E77" s="11"/>
    </row>
    <row r="78" spans="1:41" x14ac:dyDescent="0.25">
      <c r="A78" s="3" t="s">
        <v>63</v>
      </c>
      <c r="E78" s="11"/>
      <c r="G78" s="3" t="s">
        <v>64</v>
      </c>
      <c r="H78" s="4" t="s">
        <v>56</v>
      </c>
    </row>
    <row r="79" spans="1:41" x14ac:dyDescent="0.25">
      <c r="A79" s="6">
        <v>175.4736091</v>
      </c>
      <c r="B79" s="3" t="s">
        <v>30</v>
      </c>
      <c r="C79" s="9">
        <f>[1]!AeroMach_fHpQ(hp, QPSF)</f>
        <v>0.79999873145253286</v>
      </c>
      <c r="D79" s="8">
        <v>0.79999873145253297</v>
      </c>
      <c r="E79" s="10">
        <f t="shared" ref="E79:E83" si="25">(C79-D79)/D79*100</f>
        <v>-1.3877809813640064E-14</v>
      </c>
      <c r="H79" s="3" t="s">
        <v>42</v>
      </c>
      <c r="I79" s="9">
        <f>[1]!AeroKTAS_fHpQOATKelvin(hp,QPSF, oatK)</f>
        <v>479.56671834527003</v>
      </c>
      <c r="J79">
        <v>479.56671834527003</v>
      </c>
      <c r="K79" s="10">
        <f>(I79-J79)/J79*100</f>
        <v>0</v>
      </c>
    </row>
    <row r="80" spans="1:41" x14ac:dyDescent="0.25">
      <c r="B80" s="3" t="s">
        <v>32</v>
      </c>
      <c r="C80" s="9">
        <f>[1]!AeroKtasStdDay_fHpQ(hp, QPSF)</f>
        <v>458.85464367056426</v>
      </c>
      <c r="D80" s="8">
        <v>458.85464367056397</v>
      </c>
      <c r="E80" s="10">
        <f t="shared" si="25"/>
        <v>6.1940550940156678E-14</v>
      </c>
      <c r="H80" s="3" t="s">
        <v>15</v>
      </c>
      <c r="I80" s="9">
        <f>[1]!AeroKTAS_fHpQOATCelsius(hp,QPSF, oatC)</f>
        <v>479.56671834527003</v>
      </c>
      <c r="J80">
        <v>479.56671834527003</v>
      </c>
      <c r="K80" s="10">
        <f>(I80-J80)/J80*100</f>
        <v>0</v>
      </c>
    </row>
    <row r="81" spans="1:11" x14ac:dyDescent="0.25">
      <c r="B81" s="3" t="s">
        <v>31</v>
      </c>
      <c r="C81" s="9">
        <f>[1]!AeroKEAS_fQ(QPSF)</f>
        <v>227.66308765584694</v>
      </c>
      <c r="D81" s="8">
        <v>227.66308765584699</v>
      </c>
      <c r="E81" s="10">
        <f t="shared" si="25"/>
        <v>-2.4968219242786028E-14</v>
      </c>
      <c r="H81" s="3" t="s">
        <v>45</v>
      </c>
      <c r="I81" s="9">
        <f>[1]!AeroKTAS_fHpQOATRankine(hp,QPSF,oatR)</f>
        <v>479.56671834527003</v>
      </c>
      <c r="J81">
        <v>479.56671834527003</v>
      </c>
      <c r="K81" s="10">
        <f>(I81-J81)/J81*100</f>
        <v>0</v>
      </c>
    </row>
    <row r="82" spans="1:11" x14ac:dyDescent="0.25">
      <c r="B82" s="3" t="s">
        <v>29</v>
      </c>
      <c r="C82" s="9">
        <f>[1]!AeroKCAS_fHpQ(hp, QPSF)</f>
        <v>242.21753407978258</v>
      </c>
      <c r="D82" s="8">
        <v>242.21753407978301</v>
      </c>
      <c r="E82" s="10">
        <f t="shared" si="25"/>
        <v>-1.7600940537840441E-13</v>
      </c>
      <c r="H82" s="3" t="s">
        <v>17</v>
      </c>
      <c r="I82" s="9">
        <f>[1]!AeroKTAS_fHpQOATFahrenheit(hp,QPSF, oatF)</f>
        <v>479.56671834527003</v>
      </c>
      <c r="J82">
        <v>479.56671834527003</v>
      </c>
      <c r="K82" s="10">
        <f>(I82-J82)/J82*100</f>
        <v>0</v>
      </c>
    </row>
    <row r="83" spans="1:11" x14ac:dyDescent="0.25">
      <c r="B83" s="3" t="s">
        <v>36</v>
      </c>
      <c r="C83" s="9">
        <f>[1]!AeroQC_lbfPerFt2_fHpQ(hp, QPSF)</f>
        <v>205.37452847579871</v>
      </c>
      <c r="D83" s="8">
        <v>205.374528475799</v>
      </c>
      <c r="E83" s="10">
        <f t="shared" si="25"/>
        <v>-1.3838965153730432E-13</v>
      </c>
      <c r="H83" s="3" t="s">
        <v>46</v>
      </c>
      <c r="I83" s="9">
        <f>AeroKTAS_fHpQISAdevCelsius(hp,QPSF,isaDevC)</f>
        <v>479.56671834527003</v>
      </c>
      <c r="J83">
        <v>479.56671834527003</v>
      </c>
      <c r="K83" s="10">
        <f t="shared" ref="K83:K84" si="26">(I83-J83)/J83*100</f>
        <v>0</v>
      </c>
    </row>
    <row r="84" spans="1:11" x14ac:dyDescent="0.25">
      <c r="E84" s="11"/>
      <c r="H84" s="3" t="s">
        <v>49</v>
      </c>
      <c r="I84" s="9">
        <f>[1]!AeroKTAS_fHpQISAdevFahrenheit(hp,QPSF,isaDevF)</f>
        <v>479.56671834527003</v>
      </c>
      <c r="J84">
        <v>479.56671834527003</v>
      </c>
      <c r="K84" s="10">
        <f t="shared" si="26"/>
        <v>0</v>
      </c>
    </row>
    <row r="85" spans="1:11" x14ac:dyDescent="0.25">
      <c r="E85" s="11"/>
    </row>
    <row r="86" spans="1:11" x14ac:dyDescent="0.25">
      <c r="A86" s="3" t="s">
        <v>66</v>
      </c>
      <c r="E86" s="11"/>
      <c r="G86" s="3" t="s">
        <v>65</v>
      </c>
      <c r="H86" s="4" t="s">
        <v>56</v>
      </c>
    </row>
    <row r="87" spans="1:11" x14ac:dyDescent="0.25">
      <c r="A87" s="6">
        <v>1817.5778949999999</v>
      </c>
      <c r="B87" s="3" t="s">
        <v>30</v>
      </c>
      <c r="C87" s="9">
        <f>[1]!AeroMach_fHpQc(hp,QcPSF)</f>
        <v>1.9999945814102982</v>
      </c>
      <c r="D87" s="8">
        <v>1.9999945814102982</v>
      </c>
      <c r="E87" s="10">
        <f t="shared" ref="E87:E91" si="27">(C87-D87)/D87*100</f>
        <v>0</v>
      </c>
      <c r="H87" s="3" t="s">
        <v>42</v>
      </c>
      <c r="I87" s="9">
        <f>[1]!AeroKTAS_fHpQcOATKelvin(hp,QcPSF, oatK)</f>
        <v>1198.9154487455182</v>
      </c>
      <c r="J87">
        <v>1198.9154487455182</v>
      </c>
      <c r="K87" s="10">
        <f>(I87-J87)/J87*100</f>
        <v>0</v>
      </c>
    </row>
    <row r="88" spans="1:11" x14ac:dyDescent="0.25">
      <c r="B88" s="3" t="s">
        <v>32</v>
      </c>
      <c r="C88" s="9">
        <f>[1]!AeroKTASStdDay_fHpQc(hp, QcPSF)</f>
        <v>1147.13531175348</v>
      </c>
      <c r="D88" s="8">
        <v>1147.13531175348</v>
      </c>
      <c r="E88" s="10">
        <f t="shared" si="27"/>
        <v>0</v>
      </c>
      <c r="H88" s="3" t="s">
        <v>15</v>
      </c>
      <c r="I88" s="9">
        <f>[1]!AeroKTAS_fHpQcOATCelsius(hp,QcPSF, oatC)</f>
        <v>1198.9154487455182</v>
      </c>
      <c r="J88">
        <v>1198.9154487455182</v>
      </c>
      <c r="K88" s="10">
        <f>(I88-J88)/J88*100</f>
        <v>0</v>
      </c>
    </row>
    <row r="89" spans="1:11" x14ac:dyDescent="0.25">
      <c r="B89" s="3" t="s">
        <v>31</v>
      </c>
      <c r="C89" s="9">
        <f>[1]!AeroKEAS_fHPQc(hp,QcPSF)</f>
        <v>569.15707541656798</v>
      </c>
      <c r="D89" s="8">
        <v>569.15707541656798</v>
      </c>
      <c r="E89" s="10">
        <f t="shared" si="27"/>
        <v>0</v>
      </c>
      <c r="H89" s="3" t="s">
        <v>45</v>
      </c>
      <c r="I89" s="9">
        <f>[1]!AeroKTAS_fHpQcOATRankine(hp,QcPSF, oatR)</f>
        <v>1198.9154487455182</v>
      </c>
      <c r="J89">
        <v>1198.9154487455182</v>
      </c>
      <c r="K89" s="10">
        <f>(I89-J89)/J89*100</f>
        <v>0</v>
      </c>
    </row>
    <row r="90" spans="1:11" x14ac:dyDescent="0.25">
      <c r="B90" s="3" t="s">
        <v>29</v>
      </c>
      <c r="C90" s="9">
        <f>[1]!AeroKCAS_fQc( QcPSF)</f>
        <v>651.1331360267194</v>
      </c>
      <c r="D90" s="8">
        <v>651.1331360267194</v>
      </c>
      <c r="E90" s="10">
        <f t="shared" si="27"/>
        <v>0</v>
      </c>
      <c r="H90" s="3" t="s">
        <v>17</v>
      </c>
      <c r="I90" s="9">
        <f>[1]!AeroKTAS_fHpQcOATFahrenheit(hp,QcPSF, oatF)</f>
        <v>1198.9154487455182</v>
      </c>
      <c r="J90">
        <v>1198.9154487455182</v>
      </c>
      <c r="K90" s="10">
        <f>(I90-J90)/J90*100</f>
        <v>0</v>
      </c>
    </row>
    <row r="91" spans="1:11" x14ac:dyDescent="0.25">
      <c r="B91" s="3" t="s">
        <v>35</v>
      </c>
      <c r="C91" s="9">
        <f>[1]!AeroQ_lbfPerFt2_fHpQc(hp, QcPSF)</f>
        <v>1096.7075923225684</v>
      </c>
      <c r="D91" s="8">
        <v>1096.7075923225684</v>
      </c>
      <c r="E91" s="10">
        <f t="shared" si="27"/>
        <v>0</v>
      </c>
      <c r="H91" s="3" t="s">
        <v>46</v>
      </c>
      <c r="I91" s="9">
        <f>[1]!AeroKTAS_fHpQcISAdevCelsius(hp,QcPSF, isaDevC)</f>
        <v>1198.9154487455182</v>
      </c>
      <c r="J91">
        <v>1198.9154487455182</v>
      </c>
      <c r="K91" s="10">
        <f t="shared" ref="K91:K92" si="28">(I91-J91)/J91*100</f>
        <v>0</v>
      </c>
    </row>
    <row r="92" spans="1:11" x14ac:dyDescent="0.25">
      <c r="E92" s="11"/>
      <c r="H92" s="3" t="s">
        <v>49</v>
      </c>
      <c r="I92" s="9">
        <f>[1]!AeroKTAS_fHpQcISAdevFahrenheit(hp,QcPSF,isaDevF)</f>
        <v>1198.9154487455182</v>
      </c>
      <c r="J92">
        <v>1198.9154487455182</v>
      </c>
      <c r="K92" s="10">
        <f t="shared" si="28"/>
        <v>0</v>
      </c>
    </row>
    <row r="93" spans="1:11" x14ac:dyDescent="0.25">
      <c r="E93" s="11"/>
    </row>
    <row r="94" spans="1:11" x14ac:dyDescent="0.25">
      <c r="A94" s="5" t="s">
        <v>158</v>
      </c>
    </row>
    <row r="95" spans="1:11" x14ac:dyDescent="0.25">
      <c r="B95" s="3" t="s">
        <v>68</v>
      </c>
      <c r="C95" s="9">
        <f>[1]!AeroViscDyn_SlugPerftSec_fTheta(C24)</f>
        <v>2.9691006479835142E-7</v>
      </c>
      <c r="D95" s="17">
        <v>2.9691006479835142E-7</v>
      </c>
      <c r="E95" s="10">
        <f>(C95-D95)/D95*100</f>
        <v>0</v>
      </c>
    </row>
    <row r="96" spans="1:11" x14ac:dyDescent="0.25">
      <c r="B96" s="3" t="s">
        <v>67</v>
      </c>
      <c r="C96" s="9">
        <f>[1]!AeroViscDyn_kgPerMeterSec_fTheta(C24)</f>
        <v>1.421613079641336E-5</v>
      </c>
      <c r="D96" s="17">
        <v>1.421613079641336E-5</v>
      </c>
      <c r="E96" s="10">
        <f>(C96-D96)/D96*100</f>
        <v>0</v>
      </c>
    </row>
    <row r="97" spans="1:41" x14ac:dyDescent="0.25">
      <c r="B97" s="3" t="s">
        <v>70</v>
      </c>
      <c r="C97" s="9">
        <f>[1]!AeroViscKin_ft2PerSec_fSigmaTheta(C25,C24)</f>
        <v>5.0743499596372986E-4</v>
      </c>
      <c r="D97" s="8">
        <v>5.0743499596372986E-4</v>
      </c>
      <c r="E97" s="10">
        <f>(C97-D97)/D97*100</f>
        <v>0</v>
      </c>
    </row>
    <row r="98" spans="1:41" x14ac:dyDescent="0.25">
      <c r="B98" s="3" t="s">
        <v>69</v>
      </c>
      <c r="C98" s="9">
        <f>[1]!AeroViscKin_meter2PerSec_fSigmaTheta(C25,C24)</f>
        <v>4.7142253727418243E-5</v>
      </c>
      <c r="D98" s="17">
        <v>4.7142253727418243E-5</v>
      </c>
      <c r="E98" s="10">
        <f>(C98-D98)/D98*100</f>
        <v>0</v>
      </c>
    </row>
    <row r="99" spans="1:41" x14ac:dyDescent="0.25">
      <c r="C99" s="3"/>
    </row>
    <row r="100" spans="1:41" x14ac:dyDescent="0.25">
      <c r="A100" s="5" t="s">
        <v>159</v>
      </c>
      <c r="E100" s="11"/>
    </row>
    <row r="101" spans="1:41" x14ac:dyDescent="0.25">
      <c r="A101" s="3" t="s">
        <v>34</v>
      </c>
      <c r="E101" s="11"/>
    </row>
    <row r="102" spans="1:41" x14ac:dyDescent="0.25">
      <c r="B102" s="3" t="s">
        <v>60</v>
      </c>
      <c r="C102" s="9">
        <f>[1]!AeroRePerFtStdDay_fHpMach(hp, Mach)</f>
        <v>3815565.6342436145</v>
      </c>
      <c r="D102" s="8">
        <v>3815565.6342436098</v>
      </c>
      <c r="E102" s="10">
        <f>(C102-D102)/D102*100</f>
        <v>1.2204253102831267E-13</v>
      </c>
      <c r="H102" s="3" t="s">
        <v>42</v>
      </c>
      <c r="I102" s="9">
        <f>[1]!AeroRePerFt_fHpMachOATKelvin(hp,Mach, oatK)</f>
        <v>3393447.9559419588</v>
      </c>
      <c r="J102" s="8">
        <v>3393447.9559419602</v>
      </c>
      <c r="K102" s="10">
        <f t="shared" ref="K102" si="29">(I102-J102)/J102*100</f>
        <v>-4.1167092587263212E-14</v>
      </c>
      <c r="N102" s="3" t="s">
        <v>15</v>
      </c>
      <c r="O102" s="9">
        <f>[1]!AeroRePerFt_fHpMachOATCelsius(hp,Mach, oatC)</f>
        <v>3393447.9559419588</v>
      </c>
      <c r="P102">
        <v>3393447.9559419588</v>
      </c>
      <c r="Q102" s="10">
        <f>(O102-P102)/P102*100</f>
        <v>0</v>
      </c>
      <c r="S102" s="2"/>
      <c r="T102" s="3" t="s">
        <v>45</v>
      </c>
      <c r="U102" s="9">
        <f>[1]!AeroRePerFt_fHpMachOATRankine(hp,Mach,oatR)</f>
        <v>3393447.9559419588</v>
      </c>
      <c r="V102" s="8">
        <v>3393447.9559419588</v>
      </c>
      <c r="W102" s="10">
        <f t="shared" ref="W102" si="30">(U102-V102)/V102*100</f>
        <v>0</v>
      </c>
      <c r="Z102" s="3" t="s">
        <v>17</v>
      </c>
      <c r="AA102" s="9">
        <f>[1]!AeroRePerFt_fHpMachOATFahrenheit(hp,Mach, oatF)</f>
        <v>3393447.9559419588</v>
      </c>
      <c r="AB102" s="8">
        <v>3393447.9559419602</v>
      </c>
      <c r="AC102" s="10">
        <f>(AA102-AB102)/AB102*100</f>
        <v>-4.1167092587263212E-14</v>
      </c>
      <c r="AF102" s="3" t="s">
        <v>46</v>
      </c>
      <c r="AG102" s="9">
        <f>[1]!AeroRePerFt_fHpMachISAdevCelsius(hp,Mach,isaDevC)</f>
        <v>3393447.9559419579</v>
      </c>
      <c r="AH102" s="8">
        <v>3393447.9559419588</v>
      </c>
      <c r="AI102" s="10">
        <f t="shared" ref="AI102" si="31">(AG102-AH102)/AH102*100</f>
        <v>-2.7444728391508823E-14</v>
      </c>
      <c r="AL102" s="3" t="s">
        <v>49</v>
      </c>
      <c r="AM102" s="9">
        <f>[1]!AeroRePerFt_fHpMachISAdevFahrenheit(hp,Mach,isaDevF)</f>
        <v>3393447.9559419579</v>
      </c>
      <c r="AN102" s="8">
        <v>3393447.9559419588</v>
      </c>
      <c r="AO102" s="10">
        <f t="shared" ref="AO102" si="32">(AM102-AN102)/AN102*100</f>
        <v>-2.7444728391508823E-14</v>
      </c>
    </row>
    <row r="104" spans="1:41" x14ac:dyDescent="0.25">
      <c r="A104" s="5" t="s">
        <v>150</v>
      </c>
      <c r="B104" s="12"/>
      <c r="C104" s="13"/>
    </row>
    <row r="105" spans="1:41" x14ac:dyDescent="0.25">
      <c r="A105" s="7" t="s">
        <v>79</v>
      </c>
    </row>
    <row r="106" spans="1:41" x14ac:dyDescent="0.25">
      <c r="A106" s="6">
        <v>36.869897645844013</v>
      </c>
      <c r="B106" s="12"/>
      <c r="C106" s="13"/>
    </row>
    <row r="107" spans="1:41" x14ac:dyDescent="0.25">
      <c r="B107" s="12" t="s">
        <v>80</v>
      </c>
      <c r="C107" s="16">
        <f>[1]!AeroTurnNz_fBankDeg(A106)</f>
        <v>1.2499999999999998</v>
      </c>
      <c r="D107" s="8">
        <v>1.2499999999999998</v>
      </c>
      <c r="E107" s="10">
        <f t="shared" ref="E107:E108" si="33">(C107-D107)/D107*100</f>
        <v>0</v>
      </c>
    </row>
    <row r="108" spans="1:41" x14ac:dyDescent="0.25">
      <c r="B108" s="3" t="s">
        <v>93</v>
      </c>
      <c r="C108" s="9">
        <f>[1]!AeroTurnBank_deg_fNz(C107)</f>
        <v>36.869897645843999</v>
      </c>
      <c r="D108" s="8">
        <v>36.869897645843999</v>
      </c>
      <c r="E108" s="10">
        <f t="shared" si="33"/>
        <v>0</v>
      </c>
    </row>
    <row r="109" spans="1:41" x14ac:dyDescent="0.25">
      <c r="A109" s="7" t="s">
        <v>91</v>
      </c>
    </row>
    <row r="110" spans="1:41" x14ac:dyDescent="0.25">
      <c r="A110" s="6">
        <f>C107</f>
        <v>1.2499999999999998</v>
      </c>
    </row>
    <row r="111" spans="1:41" x14ac:dyDescent="0.25">
      <c r="A111" s="7" t="s">
        <v>92</v>
      </c>
    </row>
    <row r="112" spans="1:41" x14ac:dyDescent="0.25">
      <c r="A112" s="6">
        <v>100</v>
      </c>
    </row>
    <row r="113" spans="1:5" x14ac:dyDescent="0.25">
      <c r="B113" s="3" t="s">
        <v>81</v>
      </c>
      <c r="C113" s="9">
        <f>[1]!AeroTurnRadius_ft_fNzKtas(A110, A112)</f>
        <v>1180.5382460055635</v>
      </c>
      <c r="D113" s="8">
        <v>1180.5382460055637</v>
      </c>
      <c r="E113" s="10">
        <f t="shared" ref="E113:E122" si="34">(C113-D113)/D113*100</f>
        <v>-1.9260170198853554E-14</v>
      </c>
    </row>
    <row r="114" spans="1:5" x14ac:dyDescent="0.25">
      <c r="B114" s="3" t="s">
        <v>82</v>
      </c>
      <c r="C114" s="9">
        <f>[1]!AeroTurnRadius_ft_fBankDegKtas(A106, A112)</f>
        <v>1180.5382460055635</v>
      </c>
      <c r="D114" s="8">
        <v>1180.5382460055637</v>
      </c>
      <c r="E114" s="10">
        <f t="shared" si="34"/>
        <v>-1.9260170198853554E-14</v>
      </c>
    </row>
    <row r="115" spans="1:5" x14ac:dyDescent="0.25">
      <c r="B115" s="3" t="s">
        <v>83</v>
      </c>
      <c r="C115" s="9">
        <f>[1]!AeroTurnNz_fRadiusFtKtas(C114, A112)</f>
        <v>1.2499999999999998</v>
      </c>
      <c r="D115" s="8">
        <v>1.2499999999999998</v>
      </c>
      <c r="E115" s="10">
        <f t="shared" si="34"/>
        <v>0</v>
      </c>
    </row>
    <row r="116" spans="1:5" x14ac:dyDescent="0.25">
      <c r="B116" s="3" t="s">
        <v>84</v>
      </c>
      <c r="C116" s="9">
        <f>[1]!AeroTurnBank_deg_fRadiusKtas(C113, A112)</f>
        <v>36.869897645843999</v>
      </c>
      <c r="D116" s="8">
        <v>36.869897645843999</v>
      </c>
      <c r="E116" s="10">
        <f t="shared" si="34"/>
        <v>0</v>
      </c>
    </row>
    <row r="117" spans="1:5" x14ac:dyDescent="0.25">
      <c r="B117" s="3" t="s">
        <v>85</v>
      </c>
      <c r="C117" s="9">
        <f>[1]!AeroTurnRate_degPerSec_fNzKtas(A110, A112)</f>
        <v>8.1915500628364502</v>
      </c>
      <c r="D117" s="8">
        <v>8.1915500628364502</v>
      </c>
      <c r="E117" s="10">
        <f t="shared" si="34"/>
        <v>0</v>
      </c>
    </row>
    <row r="118" spans="1:5" x14ac:dyDescent="0.25">
      <c r="B118" s="3" t="s">
        <v>86</v>
      </c>
      <c r="C118" s="9">
        <f>[1]!AeroTurnRate_degPerSec_fBankDegKtas(A106, A112)</f>
        <v>8.1915500628364502</v>
      </c>
      <c r="D118" s="8">
        <v>8.1915500628364502</v>
      </c>
      <c r="E118" s="10">
        <f t="shared" si="34"/>
        <v>0</v>
      </c>
    </row>
    <row r="119" spans="1:5" x14ac:dyDescent="0.25">
      <c r="B119" s="3" t="s">
        <v>87</v>
      </c>
      <c r="C119" s="9">
        <f>[1]!AeroTurnNz_fTurnRateDegPerSecKtas(C118, A112)</f>
        <v>1.2499999999999998</v>
      </c>
      <c r="D119" s="8">
        <v>1.2499999999999998</v>
      </c>
      <c r="E119" s="10">
        <f t="shared" si="34"/>
        <v>0</v>
      </c>
    </row>
    <row r="120" spans="1:5" x14ac:dyDescent="0.25">
      <c r="B120" s="3" t="s">
        <v>88</v>
      </c>
      <c r="C120" s="9">
        <f>[1]!AeroTurnBank_deg_fTurnRateDegPerSecKtas(C118, A112)</f>
        <v>36.869897645843999</v>
      </c>
      <c r="D120" s="8">
        <v>36.869897645843999</v>
      </c>
      <c r="E120" s="10">
        <f t="shared" si="34"/>
        <v>0</v>
      </c>
    </row>
    <row r="121" spans="1:5" x14ac:dyDescent="0.25">
      <c r="B121" s="3" t="s">
        <v>89</v>
      </c>
      <c r="C121" s="9">
        <f>[1]!AeroTurnRate_degPerSec_fRadiusFtKtas(C114, A112)</f>
        <v>8.1915500628364502</v>
      </c>
      <c r="D121" s="8">
        <v>8.1915500628364502</v>
      </c>
      <c r="E121" s="10">
        <f t="shared" si="34"/>
        <v>0</v>
      </c>
    </row>
    <row r="122" spans="1:5" x14ac:dyDescent="0.25">
      <c r="B122" s="3" t="s">
        <v>90</v>
      </c>
      <c r="C122" s="9">
        <f>[1]!AeroTurnRadius_ft_fTurnRateDegPerSecKtas(C121, A112)</f>
        <v>1180.5382460055637</v>
      </c>
      <c r="D122" s="8">
        <v>1180.5382460055637</v>
      </c>
      <c r="E122" s="10">
        <f t="shared" si="34"/>
        <v>0</v>
      </c>
    </row>
    <row r="124" spans="1:5" x14ac:dyDescent="0.25">
      <c r="A124" s="5" t="s">
        <v>152</v>
      </c>
    </row>
    <row r="125" spans="1:5" x14ac:dyDescent="0.25">
      <c r="A125" s="14" t="s">
        <v>94</v>
      </c>
    </row>
    <row r="126" spans="1:5" x14ac:dyDescent="0.25">
      <c r="A126" s="1">
        <v>8000</v>
      </c>
    </row>
    <row r="127" spans="1:5" x14ac:dyDescent="0.25">
      <c r="A127" s="14" t="s">
        <v>95</v>
      </c>
    </row>
    <row r="128" spans="1:5" x14ac:dyDescent="0.25">
      <c r="A128" s="1">
        <v>-60</v>
      </c>
    </row>
    <row r="129" spans="1:5" x14ac:dyDescent="0.25">
      <c r="A129" s="14" t="s">
        <v>78</v>
      </c>
    </row>
    <row r="130" spans="1:5" x14ac:dyDescent="0.25">
      <c r="A130" s="1">
        <v>100</v>
      </c>
      <c r="B130"/>
    </row>
    <row r="131" spans="1:5" x14ac:dyDescent="0.25">
      <c r="A131" s="14" t="s">
        <v>92</v>
      </c>
    </row>
    <row r="132" spans="1:5" x14ac:dyDescent="0.25">
      <c r="A132" s="1">
        <v>160</v>
      </c>
      <c r="B132" s="2"/>
    </row>
    <row r="133" spans="1:5" x14ac:dyDescent="0.25">
      <c r="A133"/>
      <c r="B133" s="3" t="s">
        <v>96</v>
      </c>
      <c r="C133" s="9">
        <f>[1]!AeroRoc_HpFtPerMin_fHpIsaDevCGradFtPerNmKtas(A126,A128,A130,A132)</f>
        <v>342.03157412798095</v>
      </c>
      <c r="D133" s="8">
        <v>342.03157412798095</v>
      </c>
      <c r="E133" s="10">
        <f t="shared" ref="E133:E135" si="35">(C133-D133)/D133*100</f>
        <v>0</v>
      </c>
    </row>
    <row r="134" spans="1:5" x14ac:dyDescent="0.25">
      <c r="B134" s="15" t="s">
        <v>98</v>
      </c>
      <c r="C134" s="9">
        <f>[1]!AeroKCAS_fHpKTASISAdevCelsius(A126,A132,A128)</f>
        <v>161.05471193612797</v>
      </c>
      <c r="D134" s="8">
        <v>161.05471193612797</v>
      </c>
      <c r="E134" s="10">
        <f t="shared" si="35"/>
        <v>0</v>
      </c>
    </row>
    <row r="135" spans="1:5" x14ac:dyDescent="0.25">
      <c r="A135"/>
      <c r="B135" s="3" t="s">
        <v>97</v>
      </c>
      <c r="C135" s="9">
        <f>[1]!AeroRoc_HpFtPerMin_fHpIsaDevCGradFtPerNmKcas(A126,A128,A130,C134)</f>
        <v>342.03157412797867</v>
      </c>
      <c r="D135" s="8">
        <v>342.03157412797867</v>
      </c>
      <c r="E135" s="10">
        <f t="shared" si="35"/>
        <v>0</v>
      </c>
    </row>
    <row r="136" spans="1:5" x14ac:dyDescent="0.25">
      <c r="A136"/>
    </row>
    <row r="137" spans="1:5" x14ac:dyDescent="0.25">
      <c r="A137" s="5" t="s">
        <v>155</v>
      </c>
    </row>
    <row r="138" spans="1:5" x14ac:dyDescent="0.25">
      <c r="A138" s="7" t="s">
        <v>136</v>
      </c>
    </row>
    <row r="139" spans="1:5" x14ac:dyDescent="0.25">
      <c r="A139" s="6">
        <v>28000</v>
      </c>
    </row>
    <row r="140" spans="1:5" x14ac:dyDescent="0.25">
      <c r="A140" s="7" t="s">
        <v>134</v>
      </c>
    </row>
    <row r="141" spans="1:5" x14ac:dyDescent="0.25">
      <c r="A141" s="6">
        <v>-30</v>
      </c>
    </row>
    <row r="142" spans="1:5" x14ac:dyDescent="0.25">
      <c r="A142" s="7" t="s">
        <v>135</v>
      </c>
    </row>
    <row r="143" spans="1:5" x14ac:dyDescent="0.25">
      <c r="A143" s="6">
        <v>5000</v>
      </c>
    </row>
    <row r="144" spans="1:5" x14ac:dyDescent="0.25">
      <c r="B144" s="3" t="s">
        <v>145</v>
      </c>
      <c r="C144" s="9">
        <f>[1]!AeroDGeoPtlAlt_fDHpIsaDevCBaseHp(A139, A141, A143)</f>
        <v>24632.998634388437</v>
      </c>
      <c r="D144" s="8">
        <v>24632.998634388437</v>
      </c>
      <c r="E144" s="10">
        <f t="shared" ref="E144:E145" si="36">(C144-D144)/D144*100</f>
        <v>0</v>
      </c>
    </row>
    <row r="145" spans="1:6" x14ac:dyDescent="0.25">
      <c r="B145" s="3" t="s">
        <v>146</v>
      </c>
      <c r="C145" s="9">
        <f>[1]!AeroDHp_fDGeoPtlAltIsaDevCBaseHp(C144, A141, A143)</f>
        <v>27999.786367174285</v>
      </c>
      <c r="D145" s="8">
        <v>28000</v>
      </c>
      <c r="E145" s="10">
        <f t="shared" si="36"/>
        <v>-7.6297437755264196E-4</v>
      </c>
    </row>
    <row r="146" spans="1:6" x14ac:dyDescent="0.25">
      <c r="D146" s="7"/>
    </row>
    <row r="147" spans="1:6" x14ac:dyDescent="0.25">
      <c r="A147" s="5" t="s">
        <v>154</v>
      </c>
      <c r="D147" s="7"/>
    </row>
    <row r="148" spans="1:6" x14ac:dyDescent="0.25">
      <c r="A148" s="7" t="s">
        <v>147</v>
      </c>
      <c r="D148" s="7"/>
    </row>
    <row r="149" spans="1:6" x14ac:dyDescent="0.25">
      <c r="A149" s="6">
        <v>29.4</v>
      </c>
    </row>
    <row r="150" spans="1:6" x14ac:dyDescent="0.25">
      <c r="A150" s="7" t="s">
        <v>132</v>
      </c>
      <c r="D150" s="7"/>
      <c r="E150" s="3"/>
      <c r="F150" s="8"/>
    </row>
    <row r="151" spans="1:6" x14ac:dyDescent="0.25">
      <c r="A151" s="6">
        <f>AeroConvInHgToHPa(A149)</f>
        <v>995.59836599999994</v>
      </c>
      <c r="D151" s="7"/>
      <c r="E151" s="3"/>
      <c r="F151" s="8"/>
    </row>
    <row r="152" spans="1:6" x14ac:dyDescent="0.25">
      <c r="A152" s="7" t="s">
        <v>133</v>
      </c>
      <c r="D152" s="7"/>
      <c r="E152" s="3"/>
      <c r="F152" s="8"/>
    </row>
    <row r="153" spans="1:6" x14ac:dyDescent="0.25">
      <c r="A153" s="6">
        <v>1000</v>
      </c>
      <c r="E153" s="3"/>
      <c r="F153" s="8"/>
    </row>
    <row r="154" spans="1:6" x14ac:dyDescent="0.25">
      <c r="B154" s="3" t="s">
        <v>137</v>
      </c>
      <c r="C154" s="9">
        <f>AeroHp_fQnhHPaGeoPtlAlt(A151,A153)</f>
        <v>1485.5097177399189</v>
      </c>
      <c r="D154" s="8">
        <v>1485.5097177399189</v>
      </c>
      <c r="E154" s="10">
        <f>(C154-D154)/D154*100</f>
        <v>0</v>
      </c>
      <c r="F154" s="8"/>
    </row>
    <row r="155" spans="1:6" x14ac:dyDescent="0.25">
      <c r="B155" s="3" t="s">
        <v>111</v>
      </c>
      <c r="C155" s="9">
        <f>AeroConvHPaToInHg(A151)</f>
        <v>29.4</v>
      </c>
      <c r="D155" s="8">
        <v>29.4</v>
      </c>
      <c r="E155" s="10">
        <f>(C155-D155)/D155*100</f>
        <v>0</v>
      </c>
      <c r="F155" s="3"/>
    </row>
    <row r="156" spans="1:6" x14ac:dyDescent="0.25">
      <c r="B156" s="3" t="s">
        <v>138</v>
      </c>
      <c r="C156" s="9">
        <f>AeroHp_fQnhInHgGeoPtlAlt(C155,A153)</f>
        <v>1485.5097177399189</v>
      </c>
      <c r="D156" s="8">
        <v>1485.5097177399189</v>
      </c>
      <c r="E156" s="10">
        <f t="shared" ref="E156:E160" si="37">(C156-D156)/D156*100</f>
        <v>0</v>
      </c>
      <c r="F156" s="8"/>
    </row>
    <row r="157" spans="1:6" x14ac:dyDescent="0.25">
      <c r="B157" s="3" t="s">
        <v>112</v>
      </c>
      <c r="C157" s="9">
        <f>AeroConvHPaToLbfPerFt2(A151)</f>
        <v>2079.3504195724731</v>
      </c>
      <c r="D157" s="8">
        <v>2079.3504195724731</v>
      </c>
      <c r="E157" s="10">
        <f t="shared" ref="E157" si="38">(C157-D157)/D157*100</f>
        <v>0</v>
      </c>
      <c r="F157" s="3"/>
    </row>
    <row r="158" spans="1:6" x14ac:dyDescent="0.25">
      <c r="B158" s="3" t="s">
        <v>139</v>
      </c>
      <c r="C158" s="9">
        <f>AeroHp_fQnhLbfPerFt2GeoPtlAlt(C157,A153)</f>
        <v>1485.5097177399189</v>
      </c>
      <c r="D158" s="8">
        <v>1485.5097177399189</v>
      </c>
      <c r="E158" s="10">
        <f t="shared" si="37"/>
        <v>0</v>
      </c>
      <c r="F158" s="8"/>
    </row>
    <row r="159" spans="1:6" x14ac:dyDescent="0.25">
      <c r="B159" s="3" t="s">
        <v>113</v>
      </c>
      <c r="C159" s="9">
        <f>AeroConvHPaToLbfPerInch2(A151)</f>
        <v>14.439933469253285</v>
      </c>
      <c r="D159" s="8">
        <v>14.439933469253285</v>
      </c>
      <c r="E159" s="10">
        <f t="shared" ref="E159" si="39">(C159-D159)/D159*100</f>
        <v>0</v>
      </c>
      <c r="F159" s="3"/>
    </row>
    <row r="160" spans="1:6" x14ac:dyDescent="0.25">
      <c r="B160" s="3" t="s">
        <v>140</v>
      </c>
      <c r="C160" s="9">
        <f>AeroHp_fQnhLbfPerInch2GeoPtlAlt(C159,A153)</f>
        <v>1485.5097177399189</v>
      </c>
      <c r="D160" s="8">
        <v>1485.5097177399189</v>
      </c>
      <c r="E160" s="10">
        <f t="shared" si="37"/>
        <v>0</v>
      </c>
      <c r="F160" s="8"/>
    </row>
    <row r="161" spans="1:35" x14ac:dyDescent="0.25">
      <c r="E161" s="3"/>
      <c r="F161" s="8"/>
    </row>
    <row r="162" spans="1:35" x14ac:dyDescent="0.25">
      <c r="B162" s="3" t="s">
        <v>143</v>
      </c>
      <c r="C162" s="9">
        <f>AeroQnh_lbPerFt2_fHpGeoPtlAlt(C160, A153)</f>
        <v>2079.3504195724731</v>
      </c>
      <c r="D162" s="8">
        <v>2079.3504195724731</v>
      </c>
      <c r="E162" s="10">
        <f>(C162-D162)/D162*100</f>
        <v>0</v>
      </c>
      <c r="F162" s="3"/>
    </row>
    <row r="163" spans="1:35" x14ac:dyDescent="0.25">
      <c r="B163" s="3" t="s">
        <v>144</v>
      </c>
      <c r="C163" s="9">
        <f>AeroQnh_lbPerInch2_fHpGeoPtlAlt(C160, A153)</f>
        <v>14.439933469253285</v>
      </c>
      <c r="D163" s="8">
        <v>14.439933469253285</v>
      </c>
      <c r="E163" s="10">
        <f>(C163-D163)/D163*100</f>
        <v>0</v>
      </c>
      <c r="F163" s="3"/>
    </row>
    <row r="164" spans="1:35" x14ac:dyDescent="0.25">
      <c r="B164" s="3" t="s">
        <v>142</v>
      </c>
      <c r="C164" s="9">
        <f>AeroQnh_inHg_fHpGeoPtlAlt(C160, A153)</f>
        <v>29.4</v>
      </c>
      <c r="D164" s="8">
        <v>29.4</v>
      </c>
      <c r="E164" s="10">
        <f>(C164-D164)/D164*100</f>
        <v>0</v>
      </c>
      <c r="F164" s="3"/>
    </row>
    <row r="165" spans="1:35" x14ac:dyDescent="0.25">
      <c r="B165" s="3" t="s">
        <v>141</v>
      </c>
      <c r="C165" s="9">
        <f>AeroQnh_hPa_fHpGeoPtlAlt(C160, A153)</f>
        <v>995.59836599999994</v>
      </c>
      <c r="D165" s="8">
        <v>995.59836599999994</v>
      </c>
      <c r="E165" s="10">
        <f>(C165-D165)/D165*100</f>
        <v>0</v>
      </c>
      <c r="F165" s="3"/>
    </row>
    <row r="166" spans="1:35" x14ac:dyDescent="0.25">
      <c r="A166" s="8"/>
    </row>
    <row r="167" spans="1:35" x14ac:dyDescent="0.25">
      <c r="A167" s="5" t="s">
        <v>153</v>
      </c>
    </row>
    <row r="168" spans="1:35" x14ac:dyDescent="0.25">
      <c r="A168" s="7" t="s">
        <v>108</v>
      </c>
      <c r="G168" s="7" t="s">
        <v>108</v>
      </c>
      <c r="J168" s="8"/>
      <c r="K168" s="8"/>
      <c r="M168" s="7" t="s">
        <v>108</v>
      </c>
      <c r="N168" s="3"/>
      <c r="S168" s="7" t="s">
        <v>108</v>
      </c>
      <c r="T168" s="3"/>
      <c r="Y168" s="7" t="s">
        <v>108</v>
      </c>
      <c r="Z168" s="3"/>
      <c r="AE168" s="7" t="s">
        <v>108</v>
      </c>
      <c r="AF168" s="3"/>
    </row>
    <row r="169" spans="1:35" x14ac:dyDescent="0.25">
      <c r="A169" s="6">
        <v>30</v>
      </c>
      <c r="G169" s="6">
        <v>-1</v>
      </c>
      <c r="J169" s="8"/>
      <c r="K169" s="8"/>
      <c r="M169" s="6">
        <v>45</v>
      </c>
      <c r="N169" s="3"/>
      <c r="S169" s="6">
        <v>361</v>
      </c>
      <c r="T169" s="3"/>
      <c r="Y169" s="6">
        <v>45</v>
      </c>
      <c r="Z169" s="3"/>
      <c r="AE169" s="6">
        <v>45</v>
      </c>
      <c r="AF169" s="3"/>
    </row>
    <row r="170" spans="1:35" x14ac:dyDescent="0.25">
      <c r="A170" s="7" t="s">
        <v>109</v>
      </c>
      <c r="G170" s="7" t="s">
        <v>109</v>
      </c>
      <c r="J170" s="8"/>
      <c r="K170" s="8"/>
      <c r="M170" s="7" t="s">
        <v>109</v>
      </c>
      <c r="N170" s="3"/>
      <c r="S170" s="7" t="s">
        <v>109</v>
      </c>
      <c r="T170" s="3"/>
      <c r="Y170" s="7" t="s">
        <v>109</v>
      </c>
      <c r="Z170" s="3"/>
      <c r="AE170" s="7" t="s">
        <v>109</v>
      </c>
      <c r="AF170" s="3"/>
    </row>
    <row r="171" spans="1:35" x14ac:dyDescent="0.25">
      <c r="A171" s="6">
        <v>90</v>
      </c>
      <c r="G171" s="6">
        <v>90</v>
      </c>
      <c r="J171" s="8"/>
      <c r="K171" s="8"/>
      <c r="M171" s="6">
        <v>-1</v>
      </c>
      <c r="N171" s="3"/>
      <c r="S171" s="6">
        <v>90</v>
      </c>
      <c r="T171" s="3"/>
      <c r="Y171" s="6">
        <v>361</v>
      </c>
      <c r="Z171" s="3"/>
      <c r="AE171" s="6">
        <v>90</v>
      </c>
      <c r="AF171" s="3"/>
    </row>
    <row r="172" spans="1:35" x14ac:dyDescent="0.25">
      <c r="A172" s="7" t="s">
        <v>110</v>
      </c>
      <c r="G172" s="7" t="s">
        <v>110</v>
      </c>
      <c r="J172" s="8"/>
      <c r="K172" s="8"/>
      <c r="M172" s="7" t="s">
        <v>110</v>
      </c>
      <c r="N172" s="3"/>
      <c r="S172" s="7" t="s">
        <v>110</v>
      </c>
      <c r="T172" s="3"/>
      <c r="Y172" s="7" t="s">
        <v>110</v>
      </c>
      <c r="Z172" s="3"/>
      <c r="AE172" s="7" t="s">
        <v>110</v>
      </c>
      <c r="AF172" s="3"/>
    </row>
    <row r="173" spans="1:35" x14ac:dyDescent="0.25">
      <c r="A173" s="6">
        <v>45</v>
      </c>
      <c r="G173" s="6">
        <v>45</v>
      </c>
      <c r="J173" s="8"/>
      <c r="K173" s="8"/>
      <c r="M173" s="6">
        <v>45</v>
      </c>
      <c r="N173" s="3"/>
      <c r="S173" s="6">
        <v>45</v>
      </c>
      <c r="T173" s="3"/>
      <c r="Y173" s="6">
        <v>45</v>
      </c>
      <c r="Z173" s="3"/>
      <c r="AE173" s="6">
        <v>-1</v>
      </c>
      <c r="AF173" s="3"/>
    </row>
    <row r="174" spans="1:35" x14ac:dyDescent="0.25">
      <c r="B174" s="3" t="s">
        <v>167</v>
      </c>
      <c r="C174" s="9">
        <f>[1]!AeroWndHead_fAcHdgWndHdgWndSpd(A169,A171,A173)</f>
        <v>22.500000000000004</v>
      </c>
      <c r="D174" s="8">
        <v>22.500000000000004</v>
      </c>
      <c r="E174" s="10">
        <f>(C174-D174)/D174*100</f>
        <v>0</v>
      </c>
      <c r="H174" s="3" t="s">
        <v>167</v>
      </c>
      <c r="I174" s="9">
        <f>[1]!AeroWndHead_fAcHdgWndHdgWndSpd(G169,G171,G173)</f>
        <v>-99999999.999999896</v>
      </c>
      <c r="J174" s="8">
        <v>-99999999.999999896</v>
      </c>
      <c r="K174" s="10">
        <f>(I174-J174)/J174*100</f>
        <v>0</v>
      </c>
      <c r="M174" s="7"/>
      <c r="N174" s="3" t="s">
        <v>167</v>
      </c>
      <c r="O174" s="9">
        <f>[1]!AeroWndHead_fAcHdgWndHdgWndSpd(M169,M171,M173)</f>
        <v>-99999999.999999896</v>
      </c>
      <c r="P174" s="8">
        <v>-99999999.999999896</v>
      </c>
      <c r="Q174" s="10">
        <f>(O174-P174)/P174*100</f>
        <v>0</v>
      </c>
      <c r="S174" s="7"/>
      <c r="T174" s="3" t="s">
        <v>167</v>
      </c>
      <c r="U174" s="9">
        <f>[1]!AeroWndHead_fAcHdgWndHdgWndSpd(S169,S171,S173)</f>
        <v>-99999999.999999896</v>
      </c>
      <c r="V174" s="8">
        <v>-99999999.999999896</v>
      </c>
      <c r="W174" s="10">
        <f>(U174-V174)/V174*100</f>
        <v>0</v>
      </c>
      <c r="Y174" s="7"/>
      <c r="Z174" s="3" t="s">
        <v>167</v>
      </c>
      <c r="AA174" s="9">
        <f>[1]!AeroWndHead_fAcHdgWndHdgWndSpd(Y169,Y171,Y173)</f>
        <v>-99999999.999999896</v>
      </c>
      <c r="AB174" s="8">
        <v>-99999999.999999896</v>
      </c>
      <c r="AC174" s="10">
        <f>(AA174-AB174)/AB174*100</f>
        <v>0</v>
      </c>
      <c r="AE174" s="7"/>
      <c r="AF174" s="3" t="s">
        <v>167</v>
      </c>
      <c r="AG174" s="9">
        <f>[1]!AeroWndHead_fAcHdgWndHdgWndSpd(AE169,AE171,AE173)</f>
        <v>-99999999.999999896</v>
      </c>
      <c r="AH174" s="8">
        <v>-99999999.999999896</v>
      </c>
      <c r="AI174" s="10">
        <f>(AG174-AH174)/AH174*100</f>
        <v>0</v>
      </c>
    </row>
    <row r="175" spans="1:35" x14ac:dyDescent="0.25">
      <c r="B175" s="3" t="s">
        <v>168</v>
      </c>
      <c r="C175" s="9">
        <f>[1]!AeroWndCross_fAcHdgWndHdgWndSpd(A169,A171,A173)</f>
        <v>38.97114317029974</v>
      </c>
      <c r="D175" s="8">
        <v>38.97114317029974</v>
      </c>
      <c r="E175" s="10">
        <f>(C175-D175)/D175*100</f>
        <v>0</v>
      </c>
      <c r="H175" s="3" t="s">
        <v>168</v>
      </c>
      <c r="I175" s="9">
        <f>[1]!AeroWndCross_fAcHdgWndHdgWndSpd(G169,G171,G173)</f>
        <v>-99999999.999999896</v>
      </c>
      <c r="J175" s="8">
        <v>-99999999.999999896</v>
      </c>
      <c r="K175" s="10">
        <f>(I175-J175)/J175*100</f>
        <v>0</v>
      </c>
      <c r="M175" s="7"/>
      <c r="N175" s="3" t="s">
        <v>168</v>
      </c>
      <c r="O175" s="9">
        <f>[1]!AeroWndCross_fAcHdgWndHdgWndSpd(M169,M171,M173)</f>
        <v>-99999999.999999896</v>
      </c>
      <c r="P175" s="8">
        <v>-99999999.999999896</v>
      </c>
      <c r="Q175" s="10">
        <f>(O175-P175)/P175*100</f>
        <v>0</v>
      </c>
      <c r="S175" s="7"/>
      <c r="T175" s="3" t="s">
        <v>168</v>
      </c>
      <c r="U175" s="9">
        <f>[1]!AeroWndCross_fAcHdgWndHdgWndSpd(S169,S171,S173)</f>
        <v>-99999999.999999896</v>
      </c>
      <c r="V175" s="8">
        <v>-99999999.999999896</v>
      </c>
      <c r="W175" s="10">
        <f>(U175-V175)/V175*100</f>
        <v>0</v>
      </c>
      <c r="Y175" s="7"/>
      <c r="Z175" s="3" t="s">
        <v>168</v>
      </c>
      <c r="AA175" s="9">
        <f>[1]!AeroWndCross_fAcHdgWndHdgWndSpd(Y169,Y171,Y173)</f>
        <v>-99999999.999999896</v>
      </c>
      <c r="AB175" s="8">
        <v>-99999999.999999896</v>
      </c>
      <c r="AC175" s="10">
        <f>(AA175-AB175)/AB175*100</f>
        <v>0</v>
      </c>
      <c r="AE175" s="7"/>
      <c r="AF175" s="3" t="s">
        <v>168</v>
      </c>
      <c r="AG175" s="9">
        <f>[1]!AeroWndCross_fAcHdgWndHdgWndSpd(AE169,AE171,AE173)</f>
        <v>-99999999.999999896</v>
      </c>
      <c r="AH175" s="8">
        <v>-99999999.999999896</v>
      </c>
      <c r="AI175" s="10">
        <f>(AG175-AH175)/AH175*100</f>
        <v>0</v>
      </c>
    </row>
    <row r="177" spans="1:41" x14ac:dyDescent="0.25">
      <c r="A177" s="5" t="s">
        <v>151</v>
      </c>
    </row>
    <row r="178" spans="1:41" x14ac:dyDescent="0.25">
      <c r="A178" s="7" t="s">
        <v>163</v>
      </c>
    </row>
    <row r="179" spans="1:41" x14ac:dyDescent="0.25">
      <c r="A179" s="6">
        <v>6076.1</v>
      </c>
    </row>
    <row r="180" spans="1:41" s="20" customFormat="1" x14ac:dyDescent="0.25">
      <c r="A180" s="22"/>
      <c r="B180" s="3" t="s">
        <v>71</v>
      </c>
      <c r="C180" s="9">
        <f>[1]!AeroConvFtToNm(lengthFeet)</f>
        <v>0.99999745140388774</v>
      </c>
      <c r="D180" s="8">
        <v>0.99999745140388774</v>
      </c>
      <c r="E180" s="10">
        <f t="shared" ref="E180:E199" si="40">(C180-D180)/D180*100</f>
        <v>0</v>
      </c>
      <c r="G180" s="7"/>
      <c r="H180" s="3"/>
      <c r="I180" s="8"/>
      <c r="N180" s="7"/>
      <c r="O180" s="8"/>
      <c r="P180" s="8"/>
      <c r="Q180" s="8"/>
      <c r="T180" s="7"/>
      <c r="U180" s="8"/>
      <c r="V180" s="8"/>
      <c r="W180" s="8"/>
      <c r="Z180" s="7"/>
      <c r="AA180" s="8"/>
      <c r="AB180" s="8"/>
      <c r="AC180" s="8"/>
      <c r="AF180" s="7"/>
      <c r="AG180" s="8"/>
      <c r="AH180" s="8"/>
      <c r="AI180" s="8"/>
      <c r="AL180" s="7"/>
      <c r="AM180" s="8"/>
      <c r="AN180" s="8"/>
      <c r="AO180" s="8"/>
    </row>
    <row r="181" spans="1:41" x14ac:dyDescent="0.25">
      <c r="B181" s="3" t="s">
        <v>176</v>
      </c>
      <c r="C181" s="9">
        <f>[1]!AeroConvFtToMile(lengthFeet)</f>
        <v>1.1507765151515152</v>
      </c>
      <c r="D181" s="8">
        <v>1.1507765151515152</v>
      </c>
      <c r="E181" s="10">
        <f t="shared" si="40"/>
        <v>0</v>
      </c>
    </row>
    <row r="182" spans="1:41" x14ac:dyDescent="0.25">
      <c r="B182" s="3" t="s">
        <v>180</v>
      </c>
      <c r="C182" s="9">
        <f>[1]!AeroConvFtToMeter(lengthFeet)</f>
        <v>1851.9952800000001</v>
      </c>
      <c r="D182" s="8">
        <v>1851.9952800000001</v>
      </c>
      <c r="E182" s="10">
        <f t="shared" si="40"/>
        <v>0</v>
      </c>
    </row>
    <row r="183" spans="1:41" x14ac:dyDescent="0.25">
      <c r="B183" s="3" t="s">
        <v>175</v>
      </c>
      <c r="C183" s="9">
        <f>[1]!AeroConvFtToKm(lengthFeet)</f>
        <v>1.8519952800000001</v>
      </c>
      <c r="D183" s="8">
        <v>1.8519952800000001</v>
      </c>
      <c r="E183" s="10">
        <f t="shared" si="40"/>
        <v>0</v>
      </c>
    </row>
    <row r="184" spans="1:41" x14ac:dyDescent="0.25">
      <c r="B184" s="3" t="s">
        <v>72</v>
      </c>
      <c r="C184" s="9">
        <f>[1]!AeroConvNmToFt(D193)</f>
        <v>6076.1</v>
      </c>
      <c r="D184" s="8">
        <v>6076.1</v>
      </c>
      <c r="E184" s="10">
        <f t="shared" si="40"/>
        <v>0</v>
      </c>
    </row>
    <row r="185" spans="1:41" x14ac:dyDescent="0.25">
      <c r="B185" s="3" t="s">
        <v>178</v>
      </c>
      <c r="C185" s="9">
        <f>[1]!AeroConvNmToMile(D193)</f>
        <v>1.1507765151515152</v>
      </c>
      <c r="D185" s="8">
        <v>1.1507765151515152</v>
      </c>
      <c r="E185" s="10">
        <f t="shared" si="40"/>
        <v>0</v>
      </c>
    </row>
    <row r="186" spans="1:41" x14ac:dyDescent="0.25">
      <c r="B186" s="3" t="s">
        <v>179</v>
      </c>
      <c r="C186" s="9">
        <f>[1]!AeroConvNmToMeter(D193)</f>
        <v>1851.9952800000001</v>
      </c>
      <c r="D186" s="8">
        <v>1851.9952800000001</v>
      </c>
      <c r="E186" s="10">
        <f t="shared" si="40"/>
        <v>0</v>
      </c>
    </row>
    <row r="187" spans="1:41" x14ac:dyDescent="0.25">
      <c r="B187" s="3" t="s">
        <v>177</v>
      </c>
      <c r="C187" s="9">
        <f>[1]!AeroConvNmToKm(D193)</f>
        <v>1.8519952800000001</v>
      </c>
      <c r="D187" s="8">
        <v>1.8519952800000001</v>
      </c>
      <c r="E187" s="10">
        <f t="shared" si="40"/>
        <v>0</v>
      </c>
    </row>
    <row r="188" spans="1:41" x14ac:dyDescent="0.25">
      <c r="B188" s="3" t="s">
        <v>199</v>
      </c>
      <c r="C188" s="9">
        <f>[1]!AeroConvMileToFt(D194)</f>
        <v>6076.1</v>
      </c>
      <c r="D188" s="8">
        <v>6076.1</v>
      </c>
      <c r="E188" s="10">
        <f t="shared" si="40"/>
        <v>0</v>
      </c>
    </row>
    <row r="189" spans="1:41" x14ac:dyDescent="0.25">
      <c r="B189" s="3" t="s">
        <v>200</v>
      </c>
      <c r="C189" s="9">
        <f>[1]!AeroConvMileToNm(D181)</f>
        <v>0.99999745140388774</v>
      </c>
      <c r="D189" s="8">
        <v>0.99999745140388774</v>
      </c>
      <c r="E189" s="10">
        <f t="shared" si="40"/>
        <v>0</v>
      </c>
    </row>
    <row r="190" spans="1:41" x14ac:dyDescent="0.25">
      <c r="B190" s="3" t="s">
        <v>201</v>
      </c>
      <c r="C190" s="9">
        <f>[1]!AeroConvMileToMeter(D181)</f>
        <v>1851.9952800000001</v>
      </c>
      <c r="D190" s="8">
        <v>1851.9952800000001</v>
      </c>
      <c r="E190" s="10">
        <f t="shared" si="40"/>
        <v>0</v>
      </c>
    </row>
    <row r="191" spans="1:41" x14ac:dyDescent="0.25">
      <c r="B191" s="3" t="s">
        <v>202</v>
      </c>
      <c r="C191" s="9">
        <f>[1]!AeroConvMileToKm(D181)</f>
        <v>1.8519952800000001</v>
      </c>
      <c r="D191" s="8">
        <v>1.8519952800000001</v>
      </c>
      <c r="E191" s="10">
        <f t="shared" si="40"/>
        <v>0</v>
      </c>
    </row>
    <row r="192" spans="1:41" s="18" customFormat="1" x14ac:dyDescent="0.25">
      <c r="A192" s="7"/>
      <c r="B192" s="3" t="s">
        <v>195</v>
      </c>
      <c r="C192" s="9">
        <f>[1]!AeroConvMeterToFt(D182)</f>
        <v>6076.1</v>
      </c>
      <c r="D192" s="8">
        <v>6076.1</v>
      </c>
      <c r="E192" s="10">
        <f t="shared" si="40"/>
        <v>0</v>
      </c>
      <c r="G192" s="7"/>
      <c r="H192" s="3"/>
      <c r="I192" s="8"/>
      <c r="N192" s="7"/>
      <c r="O192" s="8"/>
      <c r="P192" s="8"/>
      <c r="Q192" s="8"/>
      <c r="T192" s="7"/>
      <c r="U192" s="8"/>
      <c r="V192" s="8"/>
      <c r="W192" s="8"/>
      <c r="Z192" s="7"/>
      <c r="AA192" s="8"/>
      <c r="AB192" s="8"/>
      <c r="AC192" s="8"/>
      <c r="AF192" s="7"/>
      <c r="AG192" s="8"/>
      <c r="AH192" s="8"/>
      <c r="AI192" s="8"/>
      <c r="AL192" s="7"/>
      <c r="AM192" s="8"/>
      <c r="AN192" s="8"/>
      <c r="AO192" s="8"/>
    </row>
    <row r="193" spans="1:41" s="18" customFormat="1" x14ac:dyDescent="0.25">
      <c r="A193" s="7"/>
      <c r="B193" s="3" t="s">
        <v>196</v>
      </c>
      <c r="C193" s="9">
        <f>[1]!AeroConvMeterToNm(D182)</f>
        <v>0.99999745140388774</v>
      </c>
      <c r="D193" s="8">
        <v>0.99999745140388774</v>
      </c>
      <c r="E193" s="10">
        <f t="shared" si="40"/>
        <v>0</v>
      </c>
      <c r="G193" s="7"/>
      <c r="H193" s="3"/>
      <c r="I193" s="8"/>
      <c r="N193" s="7"/>
      <c r="O193" s="8"/>
      <c r="P193" s="8"/>
      <c r="Q193" s="8"/>
      <c r="T193" s="7"/>
      <c r="U193" s="8"/>
      <c r="V193" s="8"/>
      <c r="W193" s="8"/>
      <c r="Z193" s="7"/>
      <c r="AA193" s="8"/>
      <c r="AB193" s="8"/>
      <c r="AC193" s="8"/>
      <c r="AF193" s="7"/>
      <c r="AG193" s="8"/>
      <c r="AH193" s="8"/>
      <c r="AI193" s="8"/>
      <c r="AL193" s="7"/>
      <c r="AM193" s="8"/>
      <c r="AN193" s="8"/>
      <c r="AO193" s="8"/>
    </row>
    <row r="194" spans="1:41" s="18" customFormat="1" x14ac:dyDescent="0.25">
      <c r="A194" s="7"/>
      <c r="B194" s="3" t="s">
        <v>198</v>
      </c>
      <c r="C194" s="9">
        <f>[1]!AeroConvMeterToMile(D182)</f>
        <v>1.1507765151515152</v>
      </c>
      <c r="D194" s="8">
        <v>1.1507765151515152</v>
      </c>
      <c r="E194" s="10">
        <f t="shared" si="40"/>
        <v>0</v>
      </c>
      <c r="G194" s="7"/>
      <c r="H194" s="3"/>
      <c r="I194" s="8"/>
      <c r="N194" s="7"/>
      <c r="O194" s="8"/>
      <c r="P194" s="8"/>
      <c r="Q194" s="8"/>
      <c r="T194" s="7"/>
      <c r="U194" s="8"/>
      <c r="V194" s="8"/>
      <c r="W194" s="8"/>
      <c r="Z194" s="7"/>
      <c r="AA194" s="8"/>
      <c r="AB194" s="8"/>
      <c r="AC194" s="8"/>
      <c r="AF194" s="7"/>
      <c r="AG194" s="8"/>
      <c r="AH194" s="8"/>
      <c r="AI194" s="8"/>
      <c r="AL194" s="7"/>
      <c r="AM194" s="8"/>
      <c r="AN194" s="8"/>
      <c r="AO194" s="8"/>
    </row>
    <row r="195" spans="1:41" s="18" customFormat="1" x14ac:dyDescent="0.25">
      <c r="A195" s="7"/>
      <c r="B195" s="3" t="s">
        <v>197</v>
      </c>
      <c r="C195" s="9">
        <f>[1]!AeroConvMeterToKm(D182)</f>
        <v>1.8519952800000001</v>
      </c>
      <c r="D195" s="8">
        <v>1.8519952800000001</v>
      </c>
      <c r="E195" s="10">
        <f t="shared" si="40"/>
        <v>0</v>
      </c>
      <c r="G195" s="7"/>
      <c r="H195" s="3"/>
      <c r="I195" s="8"/>
      <c r="N195" s="7"/>
      <c r="O195" s="8"/>
      <c r="P195" s="8"/>
      <c r="Q195" s="8"/>
      <c r="T195" s="7"/>
      <c r="U195" s="8"/>
      <c r="V195" s="8"/>
      <c r="W195" s="8"/>
      <c r="Z195" s="7"/>
      <c r="AA195" s="8"/>
      <c r="AB195" s="8"/>
      <c r="AC195" s="8"/>
      <c r="AF195" s="7"/>
      <c r="AG195" s="8"/>
      <c r="AH195" s="8"/>
      <c r="AI195" s="8"/>
      <c r="AL195" s="7"/>
      <c r="AM195" s="8"/>
      <c r="AN195" s="8"/>
      <c r="AO195" s="8"/>
    </row>
    <row r="196" spans="1:41" s="18" customFormat="1" x14ac:dyDescent="0.25">
      <c r="A196" s="7"/>
      <c r="B196" s="3" t="s">
        <v>203</v>
      </c>
      <c r="C196" s="9">
        <f>[1]!AeroConvKmToFt(D183)</f>
        <v>6076.1</v>
      </c>
      <c r="D196" s="8">
        <v>6076.1</v>
      </c>
      <c r="E196" s="10">
        <f t="shared" si="40"/>
        <v>0</v>
      </c>
      <c r="G196" s="7"/>
      <c r="H196" s="3"/>
      <c r="I196" s="8"/>
      <c r="N196" s="7"/>
      <c r="O196" s="8"/>
      <c r="P196" s="8"/>
      <c r="Q196" s="8"/>
      <c r="T196" s="7"/>
      <c r="U196" s="8"/>
      <c r="V196" s="8"/>
      <c r="W196" s="8"/>
      <c r="Z196" s="7"/>
      <c r="AA196" s="8"/>
      <c r="AB196" s="8"/>
      <c r="AC196" s="8"/>
      <c r="AF196" s="7"/>
      <c r="AG196" s="8"/>
      <c r="AH196" s="8"/>
      <c r="AI196" s="8"/>
      <c r="AL196" s="7"/>
      <c r="AM196" s="8"/>
      <c r="AN196" s="8"/>
      <c r="AO196" s="8"/>
    </row>
    <row r="197" spans="1:41" s="18" customFormat="1" x14ac:dyDescent="0.25">
      <c r="A197" s="7"/>
      <c r="B197" s="3" t="s">
        <v>204</v>
      </c>
      <c r="C197" s="9">
        <f>[1]!AeroConvKmToNm(D183)</f>
        <v>0.99999745140388774</v>
      </c>
      <c r="D197" s="8">
        <v>0.99999745140388774</v>
      </c>
      <c r="E197" s="10">
        <f t="shared" si="40"/>
        <v>0</v>
      </c>
      <c r="G197" s="7"/>
      <c r="H197" s="3"/>
      <c r="I197" s="8"/>
      <c r="N197" s="7"/>
      <c r="O197" s="8"/>
      <c r="P197" s="8"/>
      <c r="Q197" s="8"/>
      <c r="T197" s="7"/>
      <c r="U197" s="8"/>
      <c r="V197" s="8"/>
      <c r="W197" s="8"/>
      <c r="Z197" s="7"/>
      <c r="AA197" s="8"/>
      <c r="AB197" s="8"/>
      <c r="AC197" s="8"/>
      <c r="AF197" s="7"/>
      <c r="AG197" s="8"/>
      <c r="AH197" s="8"/>
      <c r="AI197" s="8"/>
      <c r="AL197" s="7"/>
      <c r="AM197" s="8"/>
      <c r="AN197" s="8"/>
      <c r="AO197" s="8"/>
    </row>
    <row r="198" spans="1:41" s="18" customFormat="1" x14ac:dyDescent="0.25">
      <c r="A198" s="7"/>
      <c r="B198" s="3" t="s">
        <v>205</v>
      </c>
      <c r="C198" s="9">
        <f>[1]!AeroConvKmToMile(D183)</f>
        <v>1.1507765151515152</v>
      </c>
      <c r="D198" s="8">
        <v>1.1507765151515152</v>
      </c>
      <c r="E198" s="10">
        <f t="shared" si="40"/>
        <v>0</v>
      </c>
      <c r="G198" s="7"/>
      <c r="H198" s="3"/>
      <c r="I198" s="8"/>
      <c r="N198" s="7"/>
      <c r="O198" s="8"/>
      <c r="P198" s="8"/>
      <c r="Q198" s="8"/>
      <c r="T198" s="7"/>
      <c r="U198" s="8"/>
      <c r="V198" s="8"/>
      <c r="W198" s="8"/>
      <c r="Z198" s="7"/>
      <c r="AA198" s="8"/>
      <c r="AB198" s="8"/>
      <c r="AC198" s="8"/>
      <c r="AF198" s="7"/>
      <c r="AG198" s="8"/>
      <c r="AH198" s="8"/>
      <c r="AI198" s="8"/>
      <c r="AL198" s="7"/>
      <c r="AM198" s="8"/>
      <c r="AN198" s="8"/>
      <c r="AO198" s="8"/>
    </row>
    <row r="199" spans="1:41" s="18" customFormat="1" x14ac:dyDescent="0.25">
      <c r="A199" s="7"/>
      <c r="B199" s="3" t="s">
        <v>206</v>
      </c>
      <c r="C199" s="9">
        <f>[1]!AeroConvKmToMeter(D183)</f>
        <v>1851.9952800000001</v>
      </c>
      <c r="D199" s="8">
        <v>1851.9952800000001</v>
      </c>
      <c r="E199" s="10">
        <f t="shared" si="40"/>
        <v>0</v>
      </c>
      <c r="G199" s="7"/>
      <c r="H199" s="3"/>
      <c r="I199" s="8"/>
      <c r="N199" s="7"/>
      <c r="O199" s="8"/>
      <c r="P199" s="8"/>
      <c r="Q199" s="8"/>
      <c r="T199" s="7"/>
      <c r="U199" s="8"/>
      <c r="V199" s="8"/>
      <c r="W199" s="8"/>
      <c r="Z199" s="7"/>
      <c r="AA199" s="8"/>
      <c r="AB199" s="8"/>
      <c r="AC199" s="8"/>
      <c r="AF199" s="7"/>
      <c r="AG199" s="8"/>
      <c r="AH199" s="8"/>
      <c r="AI199" s="8"/>
      <c r="AL199" s="7"/>
      <c r="AM199" s="8"/>
      <c r="AN199" s="8"/>
      <c r="AO199" s="8"/>
    </row>
    <row r="200" spans="1:41" x14ac:dyDescent="0.25">
      <c r="A200" s="7" t="s">
        <v>162</v>
      </c>
    </row>
    <row r="201" spans="1:41" x14ac:dyDescent="0.25">
      <c r="A201" s="6">
        <v>100</v>
      </c>
    </row>
    <row r="202" spans="1:41" x14ac:dyDescent="0.25">
      <c r="B202" s="3" t="s">
        <v>100</v>
      </c>
      <c r="C202" s="9">
        <f>[1]!AeroConvFtPerSecToKts(A201)</f>
        <v>59.248380129589592</v>
      </c>
      <c r="D202" s="8">
        <v>59.248380129589592</v>
      </c>
      <c r="E202" s="10">
        <f t="shared" ref="E202" si="41">(C202-D202)/D202*100</f>
        <v>0</v>
      </c>
    </row>
    <row r="203" spans="1:41" x14ac:dyDescent="0.25">
      <c r="B203" s="3" t="s">
        <v>187</v>
      </c>
      <c r="C203" s="9">
        <f>[1]!AeroConvFtPerSecToMilePerHr(A201)</f>
        <v>68.181818181818187</v>
      </c>
      <c r="D203" s="8">
        <v>68.181799999999996</v>
      </c>
      <c r="E203" s="10">
        <f>(C203-D203)/D203*100</f>
        <v>2.6666673791928385E-5</v>
      </c>
    </row>
    <row r="204" spans="1:41" x14ac:dyDescent="0.25">
      <c r="B204" s="3" t="s">
        <v>181</v>
      </c>
      <c r="C204" s="9">
        <f>[1]!AeroConvFtPerSecToMeterPerSec(A201)</f>
        <v>30.48</v>
      </c>
      <c r="D204" s="8">
        <v>30.48</v>
      </c>
      <c r="E204" s="10">
        <f>(C204-D204)/D204*100</f>
        <v>0</v>
      </c>
    </row>
    <row r="205" spans="1:41" x14ac:dyDescent="0.25">
      <c r="B205" s="3" t="s">
        <v>171</v>
      </c>
      <c r="C205" s="9">
        <f>[1]!AeroConvFtPerSecToKmPerHr(A201)</f>
        <v>109.72799999999999</v>
      </c>
      <c r="D205" s="8">
        <v>109.72799999999999</v>
      </c>
      <c r="E205" s="10">
        <f>(C205-D205)/D205*100</f>
        <v>0</v>
      </c>
    </row>
    <row r="206" spans="1:41" x14ac:dyDescent="0.25">
      <c r="B206" s="3" t="s">
        <v>101</v>
      </c>
      <c r="C206" s="9">
        <f>[1]!AeroConvKtsToFtPerSec(D202)</f>
        <v>100</v>
      </c>
      <c r="D206" s="8">
        <v>100</v>
      </c>
      <c r="E206" s="10">
        <f t="shared" ref="E206:E220" si="42">(C206-D206)/D206*100</f>
        <v>0</v>
      </c>
    </row>
    <row r="207" spans="1:41" x14ac:dyDescent="0.25">
      <c r="B207" s="3" t="s">
        <v>188</v>
      </c>
      <c r="C207" s="9">
        <f>[1]!AeroConvKtsToMilePerHr(D202)</f>
        <v>68.181818181818187</v>
      </c>
      <c r="D207" s="8">
        <v>68.181799999999996</v>
      </c>
      <c r="E207" s="10">
        <f t="shared" ref="E207:E219" si="43">(C207-D207)/D207*100</f>
        <v>2.6666673791928385E-5</v>
      </c>
    </row>
    <row r="208" spans="1:41" x14ac:dyDescent="0.25">
      <c r="B208" s="3" t="s">
        <v>182</v>
      </c>
      <c r="C208" s="9">
        <f>[1]!AeroConvKtsToMeterPerSec(D202)</f>
        <v>30.48</v>
      </c>
      <c r="D208" s="8">
        <v>30.48</v>
      </c>
      <c r="E208" s="10">
        <f t="shared" si="43"/>
        <v>0</v>
      </c>
    </row>
    <row r="209" spans="1:5" x14ac:dyDescent="0.25">
      <c r="B209" s="3" t="s">
        <v>172</v>
      </c>
      <c r="C209" s="9">
        <f>[1]!AeroConvKtsToKmPerHr(D202)</f>
        <v>109.72799999999992</v>
      </c>
      <c r="D209" s="8">
        <v>109.72799999999999</v>
      </c>
      <c r="E209" s="10">
        <f t="shared" si="43"/>
        <v>-6.4754915405375128E-14</v>
      </c>
    </row>
    <row r="210" spans="1:5" x14ac:dyDescent="0.25">
      <c r="B210" s="3" t="s">
        <v>193</v>
      </c>
      <c r="C210" s="9">
        <f>[1]!AeroConvMilePerHrToFtPerSec(D203)</f>
        <v>99.99997333333333</v>
      </c>
      <c r="D210" s="8">
        <v>100</v>
      </c>
      <c r="E210" s="10">
        <f t="shared" si="43"/>
        <v>-2.6666666670394079E-5</v>
      </c>
    </row>
    <row r="211" spans="1:5" x14ac:dyDescent="0.25">
      <c r="B211" s="3" t="s">
        <v>190</v>
      </c>
      <c r="C211" s="9">
        <f>[1]!AeroConvMilePerHrToKts(D203)</f>
        <v>59.248364330021559</v>
      </c>
      <c r="D211" s="8">
        <v>59.248380129589592</v>
      </c>
      <c r="E211" s="10">
        <f t="shared" si="43"/>
        <v>-2.6666666663276238E-5</v>
      </c>
    </row>
    <row r="212" spans="1:5" x14ac:dyDescent="0.25">
      <c r="B212" s="3" t="s">
        <v>191</v>
      </c>
      <c r="C212" s="9">
        <f>[1]!AeroConvMilePerHrToMeterPerSec(D203)</f>
        <v>30.479991871999999</v>
      </c>
      <c r="D212" s="8">
        <v>30.48</v>
      </c>
      <c r="E212" s="10">
        <f t="shared" si="43"/>
        <v>-2.6666666670114341E-5</v>
      </c>
    </row>
    <row r="213" spans="1:5" x14ac:dyDescent="0.25">
      <c r="B213" s="3" t="s">
        <v>192</v>
      </c>
      <c r="C213" s="9">
        <f>[1]!AeroConvMilePerHrToKmPerHr(D203)</f>
        <v>109.7279707392</v>
      </c>
      <c r="D213" s="8">
        <v>109.72799999999999</v>
      </c>
      <c r="E213" s="10">
        <f t="shared" si="43"/>
        <v>-2.6666666658458453E-5</v>
      </c>
    </row>
    <row r="214" spans="1:5" x14ac:dyDescent="0.25">
      <c r="B214" s="3" t="s">
        <v>184</v>
      </c>
      <c r="C214" s="9">
        <f>[1]!AeroConvMeterPerSecToFtPerSec(D204)</f>
        <v>100</v>
      </c>
      <c r="D214" s="8">
        <v>100</v>
      </c>
      <c r="E214" s="10">
        <f t="shared" si="43"/>
        <v>0</v>
      </c>
    </row>
    <row r="215" spans="1:5" x14ac:dyDescent="0.25">
      <c r="B215" s="3" t="s">
        <v>185</v>
      </c>
      <c r="C215" s="9">
        <f>[1]!AeroConvMeterPerSecToKts(D204)</f>
        <v>59.248380129589592</v>
      </c>
      <c r="D215" s="8">
        <v>59.248380129589592</v>
      </c>
      <c r="E215" s="10">
        <f t="shared" si="43"/>
        <v>0</v>
      </c>
    </row>
    <row r="216" spans="1:5" x14ac:dyDescent="0.25">
      <c r="B216" s="3" t="s">
        <v>189</v>
      </c>
      <c r="C216" s="9">
        <f>[1]!AeroConvMeterPerSecToMilePerHr(D204)</f>
        <v>68.181818181818187</v>
      </c>
      <c r="D216" s="8">
        <v>68.181799999999996</v>
      </c>
      <c r="E216" s="10">
        <f t="shared" si="43"/>
        <v>2.6666673791928385E-5</v>
      </c>
    </row>
    <row r="217" spans="1:5" x14ac:dyDescent="0.25">
      <c r="B217" s="3" t="s">
        <v>183</v>
      </c>
      <c r="C217" s="9">
        <f>[1]!AeroConvMeterPerSecToKmPerHr(D204)</f>
        <v>109.72799999999999</v>
      </c>
      <c r="D217" s="8">
        <v>109.72799999999999</v>
      </c>
      <c r="E217" s="10">
        <f t="shared" si="43"/>
        <v>0</v>
      </c>
    </row>
    <row r="218" spans="1:5" x14ac:dyDescent="0.25">
      <c r="B218" s="3" t="s">
        <v>174</v>
      </c>
      <c r="C218" s="9">
        <f>[1]!AeroConvKmPerHrToFtPerSec(D205)</f>
        <v>100</v>
      </c>
      <c r="D218" s="8">
        <v>100</v>
      </c>
      <c r="E218" s="10">
        <f t="shared" si="43"/>
        <v>0</v>
      </c>
    </row>
    <row r="219" spans="1:5" x14ac:dyDescent="0.25">
      <c r="B219" s="3" t="s">
        <v>173</v>
      </c>
      <c r="C219" s="9">
        <f>[1]!AeroConvKmPerHrToKts(D205)</f>
        <v>59.248380129589634</v>
      </c>
      <c r="D219" s="8">
        <v>59.248380129589592</v>
      </c>
      <c r="E219" s="10">
        <f t="shared" si="43"/>
        <v>7.1955661998452888E-14</v>
      </c>
    </row>
    <row r="220" spans="1:5" x14ac:dyDescent="0.25">
      <c r="B220" s="3" t="s">
        <v>194</v>
      </c>
      <c r="C220" s="9">
        <f>[1]!AeroConvKmPerHrToMilePerHr(D205)</f>
        <v>68.181818181818187</v>
      </c>
      <c r="D220" s="8">
        <v>68.181799999999996</v>
      </c>
      <c r="E220" s="10">
        <f t="shared" si="42"/>
        <v>2.6666673791928385E-5</v>
      </c>
    </row>
    <row r="221" spans="1:5" x14ac:dyDescent="0.25">
      <c r="B221" s="3" t="s">
        <v>186</v>
      </c>
      <c r="C221" s="9">
        <f>[1]!AeroConvKmPerHrToMeterPerSec(D205)</f>
        <v>30.48</v>
      </c>
      <c r="D221" s="8">
        <v>30.48</v>
      </c>
      <c r="E221" s="10">
        <f>(C221-D221)/D221*100</f>
        <v>0</v>
      </c>
    </row>
    <row r="222" spans="1:5" x14ac:dyDescent="0.25">
      <c r="A222" s="7" t="s">
        <v>161</v>
      </c>
    </row>
    <row r="223" spans="1:5" x14ac:dyDescent="0.25">
      <c r="A223" s="6">
        <v>45</v>
      </c>
    </row>
    <row r="224" spans="1:5" x14ac:dyDescent="0.25">
      <c r="B224" s="3" t="s">
        <v>148</v>
      </c>
      <c r="C224" s="9">
        <f>[1]!AeroConvDegToRad(A223)</f>
        <v>0.78539816339744828</v>
      </c>
      <c r="D224" s="8">
        <v>0.78539816339744828</v>
      </c>
      <c r="E224" s="10">
        <f t="shared" ref="E224:E225" si="44">(C224-D224)/D224*100</f>
        <v>0</v>
      </c>
    </row>
    <row r="225" spans="1:5" x14ac:dyDescent="0.25">
      <c r="B225" s="3" t="s">
        <v>149</v>
      </c>
      <c r="C225" s="9">
        <f>[1]!AeroConvRadToDeg(D224)</f>
        <v>45</v>
      </c>
      <c r="D225" s="8">
        <v>45</v>
      </c>
      <c r="E225" s="10">
        <f t="shared" si="44"/>
        <v>0</v>
      </c>
    </row>
    <row r="226" spans="1:5" x14ac:dyDescent="0.25">
      <c r="A226" s="7" t="s">
        <v>107</v>
      </c>
    </row>
    <row r="227" spans="1:5" x14ac:dyDescent="0.25">
      <c r="A227" s="6">
        <v>27.614699999999999</v>
      </c>
    </row>
    <row r="228" spans="1:5" x14ac:dyDescent="0.25">
      <c r="B228" s="3" t="s">
        <v>119</v>
      </c>
      <c r="C228" s="9">
        <f>[1]!AeroConvLbfPerFt2ToLbfPerInch2(D234)</f>
        <v>0.40051736160984092</v>
      </c>
      <c r="D228" s="8">
        <v>0.40051736160984092</v>
      </c>
      <c r="E228" s="10">
        <f t="shared" ref="E228:E239" si="45">(C228-D228)/D228*100</f>
        <v>0</v>
      </c>
    </row>
    <row r="229" spans="1:5" x14ac:dyDescent="0.25">
      <c r="B229" s="3" t="s">
        <v>118</v>
      </c>
      <c r="C229" s="9">
        <f>[1]!AeroConvLbfPerFt2ToInHg(D234)</f>
        <v>0.81546154325448139</v>
      </c>
      <c r="D229" s="8">
        <v>0.81546154325448139</v>
      </c>
      <c r="E229" s="10">
        <f t="shared" si="45"/>
        <v>0</v>
      </c>
    </row>
    <row r="230" spans="1:5" x14ac:dyDescent="0.25">
      <c r="B230" s="3" t="s">
        <v>117</v>
      </c>
      <c r="C230" s="9">
        <f>[1]!AeroConvLbfPerFt2ToHPa(D234)</f>
        <v>27.614699999999999</v>
      </c>
      <c r="D230" s="8">
        <f>A227</f>
        <v>27.614699999999999</v>
      </c>
      <c r="E230" s="10">
        <f t="shared" si="45"/>
        <v>0</v>
      </c>
    </row>
    <row r="231" spans="1:5" x14ac:dyDescent="0.25">
      <c r="B231" s="3" t="s">
        <v>122</v>
      </c>
      <c r="C231" s="9">
        <f>[1]!AeroConvLbfPerInch2ToLbfPerFt2(D228)</f>
        <v>57.674500071817093</v>
      </c>
      <c r="D231" s="8">
        <v>57.674500071817093</v>
      </c>
      <c r="E231" s="10">
        <f t="shared" si="45"/>
        <v>0</v>
      </c>
    </row>
    <row r="232" spans="1:5" x14ac:dyDescent="0.25">
      <c r="B232" s="3" t="s">
        <v>121</v>
      </c>
      <c r="C232" s="9">
        <f>[1]!AeroConvLbfPerInch2ToInHg(D228)</f>
        <v>0.81546154325448139</v>
      </c>
      <c r="D232" s="8">
        <v>0.81546154325448139</v>
      </c>
      <c r="E232" s="10">
        <f t="shared" si="45"/>
        <v>0</v>
      </c>
    </row>
    <row r="233" spans="1:5" x14ac:dyDescent="0.25">
      <c r="B233" s="3" t="s">
        <v>120</v>
      </c>
      <c r="C233" s="9">
        <f>[1]!AeroConvLbfPerInch2ToHPa(D228)</f>
        <v>27.614699999999999</v>
      </c>
      <c r="D233" s="8">
        <f>A227</f>
        <v>27.614699999999999</v>
      </c>
      <c r="E233" s="10">
        <f t="shared" si="45"/>
        <v>0</v>
      </c>
    </row>
    <row r="234" spans="1:5" x14ac:dyDescent="0.25">
      <c r="B234" s="3" t="s">
        <v>115</v>
      </c>
      <c r="C234" s="9">
        <f>[1]!AeroConvInHgToLbfPerFt2(D239)</f>
        <v>57.674500071817093</v>
      </c>
      <c r="D234" s="8">
        <v>57.674500071817093</v>
      </c>
      <c r="E234" s="10">
        <f t="shared" si="45"/>
        <v>0</v>
      </c>
    </row>
    <row r="235" spans="1:5" x14ac:dyDescent="0.25">
      <c r="B235" s="3" t="s">
        <v>116</v>
      </c>
      <c r="C235" s="9">
        <f>[1]!AeroConvInHgToLbfPerInch2(D239)</f>
        <v>0.40051736160984092</v>
      </c>
      <c r="D235" s="8">
        <v>0.40051736160984092</v>
      </c>
      <c r="E235" s="10">
        <f t="shared" si="45"/>
        <v>0</v>
      </c>
    </row>
    <row r="236" spans="1:5" x14ac:dyDescent="0.25">
      <c r="B236" s="3" t="s">
        <v>114</v>
      </c>
      <c r="C236" s="9">
        <f>[1]!AeroConvInHgToHPa(D239)</f>
        <v>27.614699999999999</v>
      </c>
      <c r="D236" s="8">
        <f>A227</f>
        <v>27.614699999999999</v>
      </c>
      <c r="E236" s="10">
        <f t="shared" si="45"/>
        <v>0</v>
      </c>
    </row>
    <row r="237" spans="1:5" x14ac:dyDescent="0.25">
      <c r="B237" s="3" t="s">
        <v>112</v>
      </c>
      <c r="C237" s="9">
        <f>[1]!AeroConvHPaToLbfPerFt2(A227)</f>
        <v>57.674500071817093</v>
      </c>
      <c r="D237" s="8">
        <v>57.674500071817093</v>
      </c>
      <c r="E237" s="10">
        <f t="shared" si="45"/>
        <v>0</v>
      </c>
    </row>
    <row r="238" spans="1:5" x14ac:dyDescent="0.25">
      <c r="B238" s="3" t="s">
        <v>113</v>
      </c>
      <c r="C238" s="9">
        <f>[1]!AeroConvHPaToLbfPerInch2(A227)</f>
        <v>0.40051736160984092</v>
      </c>
      <c r="D238" s="8">
        <v>0.40051736160984092</v>
      </c>
      <c r="E238" s="10">
        <f t="shared" si="45"/>
        <v>0</v>
      </c>
    </row>
    <row r="239" spans="1:5" x14ac:dyDescent="0.25">
      <c r="B239" s="3" t="s">
        <v>111</v>
      </c>
      <c r="C239" s="9">
        <f>[1]!AeroConvHPaToInHg(A227)</f>
        <v>0.81546154325448139</v>
      </c>
      <c r="D239" s="8">
        <v>0.81546154325448139</v>
      </c>
      <c r="E239" s="10">
        <f t="shared" si="45"/>
        <v>0</v>
      </c>
    </row>
    <row r="241" spans="1:5" x14ac:dyDescent="0.25">
      <c r="B241" s="3" t="s">
        <v>125</v>
      </c>
      <c r="C241" s="9">
        <f>[1]!AeroHp_ft_fPstaticLbPerFt2(D237)</f>
        <v>80000.036833259204</v>
      </c>
      <c r="D241" s="8">
        <v>80000.036833259204</v>
      </c>
      <c r="E241" s="10">
        <f>(C241-D241)/D241*100</f>
        <v>0</v>
      </c>
    </row>
    <row r="242" spans="1:5" x14ac:dyDescent="0.25">
      <c r="B242" s="3" t="s">
        <v>126</v>
      </c>
      <c r="C242" s="9">
        <f>[1]!AeroHp_ft_fPstaticLbPerInch2(D238)</f>
        <v>80000.036833259204</v>
      </c>
      <c r="D242" s="8">
        <v>80000.036833259204</v>
      </c>
      <c r="E242" s="10">
        <f>(C242-D242)/D242*100</f>
        <v>0</v>
      </c>
    </row>
    <row r="243" spans="1:5" x14ac:dyDescent="0.25">
      <c r="B243" s="3" t="s">
        <v>124</v>
      </c>
      <c r="C243" s="9">
        <f>[1]!AeroHp_ft_fPstaticInHg(D239)</f>
        <v>80000.036833259204</v>
      </c>
      <c r="D243" s="8">
        <v>80000.036833259204</v>
      </c>
      <c r="E243" s="10">
        <f>(C243-D243)/D243*100</f>
        <v>0</v>
      </c>
    </row>
    <row r="244" spans="1:5" x14ac:dyDescent="0.25">
      <c r="B244" s="3" t="s">
        <v>123</v>
      </c>
      <c r="C244" s="9">
        <f>[1]!AeroHp_ft_fPstaticHPa(A227)</f>
        <v>80000.036833259204</v>
      </c>
      <c r="D244" s="8">
        <v>80000.036833259204</v>
      </c>
      <c r="E244" s="10">
        <f>(C244-D244)/D244*100</f>
        <v>0</v>
      </c>
    </row>
    <row r="245" spans="1:5" x14ac:dyDescent="0.25">
      <c r="B245" s="3" t="s">
        <v>127</v>
      </c>
      <c r="C245" s="9">
        <f>[1]!AeroHp_ft_fQfeHPa(A227)</f>
        <v>80000.036833259204</v>
      </c>
      <c r="D245" s="8">
        <v>80000.036833259204</v>
      </c>
      <c r="E245" s="10">
        <f t="shared" ref="E245:E248" si="46">(C245-D245)/D245*100</f>
        <v>0</v>
      </c>
    </row>
    <row r="246" spans="1:5" x14ac:dyDescent="0.25">
      <c r="B246" s="3" t="s">
        <v>128</v>
      </c>
      <c r="C246" s="9">
        <f>[1]!AeroHp_ft_fQfeInHg(D239)</f>
        <v>80000.036833259204</v>
      </c>
      <c r="D246" s="8">
        <v>80000.036833259204</v>
      </c>
      <c r="E246" s="10">
        <f t="shared" si="46"/>
        <v>0</v>
      </c>
    </row>
    <row r="247" spans="1:5" x14ac:dyDescent="0.25">
      <c r="B247" s="3" t="s">
        <v>129</v>
      </c>
      <c r="C247" s="9">
        <f>[1]!AeroHp_ft_fQfeLbPerFt2(D237)</f>
        <v>80000.036833259204</v>
      </c>
      <c r="D247" s="8">
        <v>80000.036833259204</v>
      </c>
      <c r="E247" s="10">
        <f t="shared" si="46"/>
        <v>0</v>
      </c>
    </row>
    <row r="248" spans="1:5" x14ac:dyDescent="0.25">
      <c r="B248" s="3" t="s">
        <v>130</v>
      </c>
      <c r="C248" s="9">
        <f>[1]!AeroHp_ft_fQfeLbPerInch2(D238)</f>
        <v>80000.036833259204</v>
      </c>
      <c r="D248" s="8">
        <v>80000.036833259204</v>
      </c>
      <c r="E248" s="10">
        <f t="shared" si="46"/>
        <v>0</v>
      </c>
    </row>
    <row r="249" spans="1:5" x14ac:dyDescent="0.25">
      <c r="A249" s="7" t="s">
        <v>160</v>
      </c>
    </row>
    <row r="250" spans="1:5" x14ac:dyDescent="0.25">
      <c r="A250" s="6">
        <v>152</v>
      </c>
      <c r="B250" s="12" t="s">
        <v>99</v>
      </c>
      <c r="C250" s="16">
        <f>[1]!AeroConvGradFtPerNmToPct(A250)</f>
        <v>2.5015982721382288</v>
      </c>
      <c r="D250" s="8">
        <v>2.5015982721382288</v>
      </c>
      <c r="E250" s="10">
        <f t="shared" ref="E250:E255" si="47">(C250-D250)/D250*100</f>
        <v>0</v>
      </c>
    </row>
    <row r="251" spans="1:5" x14ac:dyDescent="0.25">
      <c r="B251" s="12" t="s">
        <v>73</v>
      </c>
      <c r="C251" s="16">
        <f>[1]!AeroConvGradPctToFtPerNm(D250)</f>
        <v>152</v>
      </c>
      <c r="D251" s="8">
        <f>A250</f>
        <v>152</v>
      </c>
      <c r="E251" s="10">
        <f t="shared" si="47"/>
        <v>0</v>
      </c>
    </row>
    <row r="252" spans="1:5" x14ac:dyDescent="0.25">
      <c r="B252" s="12" t="s">
        <v>74</v>
      </c>
      <c r="C252" s="16">
        <f>[1]!AeroConvGradPctToDeg(D250)</f>
        <v>1.4330113542979013</v>
      </c>
      <c r="D252" s="8">
        <v>1.4330113542979013</v>
      </c>
      <c r="E252" s="10">
        <f t="shared" si="47"/>
        <v>0</v>
      </c>
    </row>
    <row r="253" spans="1:5" x14ac:dyDescent="0.25">
      <c r="B253" s="12" t="s">
        <v>75</v>
      </c>
      <c r="C253" s="16">
        <f>[1]!AeroConvGradDegToPct(D252)</f>
        <v>2.5015982721382288</v>
      </c>
      <c r="D253" s="8">
        <v>2.5015982721382288</v>
      </c>
      <c r="E253" s="10">
        <f t="shared" si="47"/>
        <v>0</v>
      </c>
    </row>
    <row r="254" spans="1:5" x14ac:dyDescent="0.25">
      <c r="B254" s="12" t="s">
        <v>76</v>
      </c>
      <c r="C254" s="16">
        <f>[1]!AeroConvGradFtPerNmToDeg(A250)</f>
        <v>1.4330113542979013</v>
      </c>
      <c r="D254" s="8">
        <v>1.4330113542979013</v>
      </c>
      <c r="E254" s="10">
        <f t="shared" si="47"/>
        <v>0</v>
      </c>
    </row>
    <row r="255" spans="1:5" x14ac:dyDescent="0.25">
      <c r="B255" s="12" t="s">
        <v>77</v>
      </c>
      <c r="C255" s="16">
        <f>[1]!AeroConvGradDegToFtPerNm(D252)</f>
        <v>151.99999999999997</v>
      </c>
      <c r="D255" s="8">
        <f>A250</f>
        <v>152</v>
      </c>
      <c r="E255" s="10">
        <f t="shared" si="47"/>
        <v>-1.8698493046318424E-14</v>
      </c>
    </row>
    <row r="256" spans="1:5" x14ac:dyDescent="0.25">
      <c r="A256" s="7" t="s">
        <v>164</v>
      </c>
    </row>
    <row r="257" spans="1:5" x14ac:dyDescent="0.25">
      <c r="A257" s="6">
        <f>[1]!AeroRhoStdDay_SlugPerft3_fHp(0)</f>
        <v>2.37689240667515E-3</v>
      </c>
    </row>
    <row r="258" spans="1:5" x14ac:dyDescent="0.25">
      <c r="B258" s="3" t="s">
        <v>165</v>
      </c>
      <c r="C258" s="9">
        <f>[1]!AeroConvSlugPerFt3ToKgPerMeter3(A257)</f>
        <v>1.2249999999999988</v>
      </c>
      <c r="D258" s="8">
        <v>1.2249999999999988</v>
      </c>
      <c r="E258" s="10">
        <f t="shared" ref="E258:E259" si="48">(C258-D258)/D258*100</f>
        <v>0</v>
      </c>
    </row>
    <row r="259" spans="1:5" x14ac:dyDescent="0.25">
      <c r="B259" s="3" t="s">
        <v>165</v>
      </c>
      <c r="C259" s="9">
        <f>[1]!AeroConvKgPerMeter3ToSlugPerFt3(D258)</f>
        <v>2.37689240667515E-3</v>
      </c>
      <c r="D259" s="8">
        <f>A257</f>
        <v>2.37689240667515E-3</v>
      </c>
      <c r="E259" s="10">
        <f t="shared" si="48"/>
        <v>0</v>
      </c>
    </row>
  </sheetData>
  <mergeCells count="7">
    <mergeCell ref="B6:C6"/>
    <mergeCell ref="AF6:AG6"/>
    <mergeCell ref="AL6:AM6"/>
    <mergeCell ref="N6:O6"/>
    <mergeCell ref="H6:I6"/>
    <mergeCell ref="Z6:AA6"/>
    <mergeCell ref="T6:U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SampleTest</vt:lpstr>
      <vt:lpstr>hp</vt:lpstr>
      <vt:lpstr>isaDevC</vt:lpstr>
      <vt:lpstr>isaDevF</vt:lpstr>
      <vt:lpstr>KCAS</vt:lpstr>
      <vt:lpstr>KEAS</vt:lpstr>
      <vt:lpstr>KTAS</vt:lpstr>
      <vt:lpstr>lengthFeet</vt:lpstr>
      <vt:lpstr>Mach</vt:lpstr>
      <vt:lpstr>oatC</vt:lpstr>
      <vt:lpstr>oatF</vt:lpstr>
      <vt:lpstr>oatK</vt:lpstr>
      <vt:lpstr>oatR</vt:lpstr>
      <vt:lpstr>QcPSF</vt:lpstr>
      <vt:lpstr>QPSF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Bays</dc:creator>
  <cp:lastModifiedBy>Lance Bays</cp:lastModifiedBy>
  <dcterms:created xsi:type="dcterms:W3CDTF">2013-12-24T19:27:49Z</dcterms:created>
  <dcterms:modified xsi:type="dcterms:W3CDTF">2019-04-21T03:46:12Z</dcterms:modified>
</cp:coreProperties>
</file>