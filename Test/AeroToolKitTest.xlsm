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8666CD79-7C3C-40EF-BA1E-4881E4BC3E36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D207" i="1" l="1"/>
  <c r="D204" i="1"/>
  <c r="D201" i="1"/>
  <c r="D225" i="1"/>
  <c r="D221" i="1"/>
  <c r="C42" i="1"/>
  <c r="C40" i="1"/>
  <c r="C39" i="1"/>
  <c r="C37" i="1"/>
  <c r="C36" i="1"/>
  <c r="C33" i="1"/>
  <c r="C30" i="1"/>
  <c r="C113" i="1"/>
  <c r="C25" i="1"/>
  <c r="I13" i="1"/>
  <c r="C86" i="1"/>
  <c r="AM14" i="1"/>
  <c r="C200" i="1"/>
  <c r="C63" i="1"/>
  <c r="C17" i="1"/>
  <c r="I7" i="1"/>
  <c r="O174" i="1"/>
  <c r="AG174" i="1"/>
  <c r="C64" i="1"/>
  <c r="AG15" i="1"/>
  <c r="C224" i="1"/>
  <c r="C117" i="1"/>
  <c r="C65" i="1"/>
  <c r="C19" i="1"/>
  <c r="AG8" i="1"/>
  <c r="C59" i="1"/>
  <c r="C132" i="1"/>
  <c r="I15" i="1"/>
  <c r="C88" i="1"/>
  <c r="C118" i="1"/>
  <c r="I90" i="1"/>
  <c r="I16" i="1"/>
  <c r="Y7" i="1"/>
  <c r="C73" i="1"/>
  <c r="AG13" i="1"/>
  <c r="AM10" i="1"/>
  <c r="C178" i="1"/>
  <c r="C180" i="1" s="1"/>
  <c r="C57" i="1"/>
  <c r="AM15" i="1"/>
  <c r="C7" i="1"/>
  <c r="U173" i="1"/>
  <c r="AA14" i="1"/>
  <c r="I55" i="1"/>
  <c r="C215" i="1"/>
  <c r="AM101" i="1"/>
  <c r="AM63" i="1"/>
  <c r="AM17" i="1"/>
  <c r="AA7" i="1"/>
  <c r="AG18" i="1"/>
  <c r="C114" i="1"/>
  <c r="I58" i="1"/>
  <c r="C14" i="1"/>
  <c r="AM64" i="1"/>
  <c r="C27" i="1"/>
  <c r="C214" i="1"/>
  <c r="I86" i="1"/>
  <c r="C15" i="1"/>
  <c r="C81" i="1"/>
  <c r="I51" i="1"/>
  <c r="AA12" i="1"/>
  <c r="C182" i="1"/>
  <c r="AA173" i="1"/>
  <c r="C51" i="1"/>
  <c r="AG14" i="1"/>
  <c r="C183" i="1"/>
  <c r="I74" i="1"/>
  <c r="C106" i="1"/>
  <c r="I50" i="1"/>
  <c r="C198" i="1"/>
  <c r="C60" i="1"/>
  <c r="AG16" i="1"/>
  <c r="AM11" i="1"/>
  <c r="I91" i="1"/>
  <c r="AM12" i="1"/>
  <c r="AA11" i="1"/>
  <c r="AA67" i="1"/>
  <c r="AG63" i="1"/>
  <c r="C202" i="1"/>
  <c r="C205" i="1"/>
  <c r="I101" i="1"/>
  <c r="AG101" i="1"/>
  <c r="C9" i="1"/>
  <c r="I78" i="1"/>
  <c r="S7" i="1"/>
  <c r="C80" i="1"/>
  <c r="AM13" i="1"/>
  <c r="AM19" i="1"/>
  <c r="I47" i="1"/>
  <c r="I9" i="1"/>
  <c r="AA101" i="1"/>
  <c r="A150" i="1"/>
  <c r="C47" i="1"/>
  <c r="AA13" i="1"/>
  <c r="C55" i="1"/>
  <c r="C43" i="1"/>
  <c r="I11" i="1"/>
  <c r="C186" i="1"/>
  <c r="C82" i="1"/>
  <c r="C56" i="1"/>
  <c r="AA15" i="1"/>
  <c r="I67" i="1"/>
  <c r="C87" i="1"/>
  <c r="AG11" i="1"/>
  <c r="U15" i="1"/>
  <c r="AA19" i="1"/>
  <c r="C154" i="1"/>
  <c r="AM65" i="1"/>
  <c r="C188" i="1"/>
  <c r="U14" i="1"/>
  <c r="U16" i="1"/>
  <c r="C204" i="1"/>
  <c r="C48" i="1"/>
  <c r="I17" i="1"/>
  <c r="C18" i="1"/>
  <c r="C11" i="1"/>
  <c r="AA18" i="1"/>
  <c r="AG66" i="1"/>
  <c r="C58" i="1"/>
  <c r="AG12" i="1"/>
  <c r="AG173" i="1"/>
  <c r="C34" i="1"/>
  <c r="C8" i="1"/>
  <c r="C49" i="1"/>
  <c r="C101" i="1"/>
  <c r="C71" i="1"/>
  <c r="AA17" i="1"/>
  <c r="C89" i="1"/>
  <c r="C31" i="1"/>
  <c r="C10" i="1"/>
  <c r="C133" i="1"/>
  <c r="C134" i="1" s="1"/>
  <c r="AA174" i="1"/>
  <c r="C78" i="1"/>
  <c r="C50" i="1"/>
  <c r="AG17" i="1"/>
  <c r="C212" i="1"/>
  <c r="C74" i="1"/>
  <c r="C26" i="1"/>
  <c r="AA10" i="1"/>
  <c r="AA8" i="1"/>
  <c r="I73" i="1"/>
  <c r="I65" i="1"/>
  <c r="I63" i="1"/>
  <c r="U64" i="1"/>
  <c r="C189" i="1"/>
  <c r="C190" i="1" s="1"/>
  <c r="U9" i="1"/>
  <c r="I88" i="1"/>
  <c r="U11" i="1"/>
  <c r="C191" i="1"/>
  <c r="C211" i="1"/>
  <c r="AA9" i="1"/>
  <c r="AM18" i="1"/>
  <c r="AG7" i="1"/>
  <c r="AM66" i="1"/>
  <c r="U65" i="1"/>
  <c r="C220" i="1"/>
  <c r="C52" i="1"/>
  <c r="I8" i="1"/>
  <c r="C120" i="1"/>
  <c r="C24" i="1"/>
  <c r="M7" i="1"/>
  <c r="C13" i="1"/>
  <c r="I89" i="1"/>
  <c r="C23" i="1"/>
  <c r="I10" i="1"/>
  <c r="I59" i="1"/>
  <c r="AG10" i="1"/>
  <c r="I82" i="1"/>
  <c r="I19" i="1"/>
  <c r="AM8" i="1"/>
  <c r="I70" i="1"/>
  <c r="O173" i="1"/>
  <c r="I71" i="1"/>
  <c r="I12" i="1"/>
  <c r="C12" i="1"/>
  <c r="C203" i="1"/>
  <c r="C70" i="1"/>
  <c r="AG19" i="1"/>
  <c r="O8" i="1"/>
  <c r="C194" i="1"/>
  <c r="O10" i="1"/>
  <c r="C218" i="1"/>
  <c r="O66" i="1"/>
  <c r="O64" i="1"/>
  <c r="AA65" i="1"/>
  <c r="U17" i="1"/>
  <c r="U7" i="1"/>
  <c r="I75" i="1"/>
  <c r="I83" i="1"/>
  <c r="C199" i="1"/>
  <c r="C158" i="1"/>
  <c r="I174" i="1"/>
  <c r="U67" i="1"/>
  <c r="I57" i="1"/>
  <c r="C174" i="1"/>
  <c r="C20" i="1"/>
  <c r="C90" i="1"/>
  <c r="C16" i="1"/>
  <c r="C66" i="1"/>
  <c r="A227" i="1"/>
  <c r="C79" i="1"/>
  <c r="I18" i="1"/>
  <c r="AM7" i="1"/>
  <c r="AG9" i="1"/>
  <c r="C187" i="1"/>
  <c r="C72" i="1"/>
  <c r="AM16" i="1"/>
  <c r="U174" i="1"/>
  <c r="I14" i="1"/>
  <c r="C143" i="1"/>
  <c r="I66" i="1"/>
  <c r="C21" i="1"/>
  <c r="AM9" i="1"/>
  <c r="C67" i="1"/>
  <c r="AG65" i="1"/>
  <c r="O16" i="1"/>
  <c r="I173" i="1"/>
  <c r="I87" i="1"/>
  <c r="I79" i="1"/>
  <c r="C179" i="1"/>
  <c r="I64" i="1"/>
  <c r="AA66" i="1"/>
  <c r="AM67" i="1"/>
  <c r="U63" i="1"/>
  <c r="I60" i="1"/>
  <c r="U10" i="1"/>
  <c r="U8" i="1"/>
  <c r="U18" i="1"/>
  <c r="O7" i="1"/>
  <c r="U66" i="1"/>
  <c r="C119" i="1"/>
  <c r="C206" i="1"/>
  <c r="C173" i="1"/>
  <c r="I52" i="1"/>
  <c r="I81" i="1"/>
  <c r="AA16" i="1"/>
  <c r="AG64" i="1"/>
  <c r="AG67" i="1"/>
  <c r="O65" i="1"/>
  <c r="AA63" i="1"/>
  <c r="AA64" i="1"/>
  <c r="C201" i="1"/>
  <c r="C216" i="1"/>
  <c r="U19" i="1"/>
  <c r="I72" i="1"/>
  <c r="I49" i="1"/>
  <c r="U13" i="1"/>
  <c r="U12" i="1"/>
  <c r="U101" i="1"/>
  <c r="I80" i="1"/>
  <c r="C156" i="1"/>
  <c r="C153" i="1"/>
  <c r="C221" i="1"/>
  <c r="C222" i="1"/>
  <c r="C97" i="1"/>
  <c r="C96" i="1"/>
  <c r="O101" i="1"/>
  <c r="O13" i="1"/>
  <c r="O11" i="1"/>
  <c r="O19" i="1"/>
  <c r="O63" i="1"/>
  <c r="O17" i="1"/>
  <c r="O9" i="1"/>
  <c r="I48" i="1"/>
  <c r="O14" i="1"/>
  <c r="O12" i="1"/>
  <c r="O67" i="1"/>
  <c r="I56" i="1"/>
  <c r="O18" i="1"/>
  <c r="O15" i="1"/>
  <c r="C95" i="1"/>
  <c r="C94" i="1"/>
  <c r="C213" i="1"/>
  <c r="C208" i="1"/>
  <c r="C207" i="1"/>
  <c r="C209" i="1"/>
  <c r="C225" i="1"/>
  <c r="C223" i="1"/>
  <c r="E200" i="1" l="1"/>
  <c r="Q174" i="1"/>
  <c r="W173" i="1"/>
  <c r="AI174" i="1"/>
  <c r="AC173" i="1"/>
  <c r="W174" i="1"/>
  <c r="K174" i="1"/>
  <c r="K173" i="1"/>
  <c r="AI173" i="1"/>
  <c r="Q173" i="1"/>
  <c r="AC174" i="1"/>
  <c r="D229" i="1"/>
  <c r="E42" i="1"/>
  <c r="E43" i="1"/>
  <c r="E190" i="1"/>
  <c r="E191" i="1"/>
  <c r="E114" i="1"/>
  <c r="E214" i="1"/>
  <c r="E189" i="1"/>
  <c r="E223" i="1"/>
  <c r="E208" i="1"/>
  <c r="E209" i="1"/>
  <c r="E207" i="1"/>
  <c r="E119" i="1"/>
  <c r="E205" i="1"/>
  <c r="E204" i="1"/>
  <c r="E222" i="1"/>
  <c r="E21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06" i="1"/>
  <c r="K7" i="1"/>
  <c r="AC10" i="1"/>
  <c r="AO12" i="1"/>
  <c r="Q16" i="1"/>
  <c r="AI19" i="1"/>
  <c r="K49" i="1"/>
  <c r="K59" i="1"/>
  <c r="K75" i="1"/>
  <c r="AI101" i="1"/>
  <c r="E117" i="1"/>
  <c r="K66" i="1"/>
  <c r="E188" i="1"/>
  <c r="AI9" i="1"/>
  <c r="K13" i="1"/>
  <c r="W15" i="1"/>
  <c r="AO18" i="1"/>
  <c r="K50" i="1"/>
  <c r="Q66" i="1"/>
  <c r="K78" i="1"/>
  <c r="E218" i="1"/>
  <c r="E153" i="1"/>
  <c r="AC15" i="1"/>
  <c r="K64" i="1"/>
  <c r="K72" i="1"/>
  <c r="K83" i="1"/>
  <c r="E202" i="1"/>
  <c r="E22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03" i="1"/>
  <c r="E212" i="1"/>
  <c r="E113" i="1"/>
  <c r="AI12" i="1"/>
  <c r="Q17" i="1"/>
  <c r="AO65" i="1"/>
  <c r="K74" i="1"/>
  <c r="E198" i="1"/>
  <c r="E224" i="1"/>
  <c r="E158" i="1"/>
  <c r="AC18" i="1"/>
  <c r="K55" i="1"/>
  <c r="E199" i="1"/>
  <c r="E173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11" i="1"/>
  <c r="AO7" i="1"/>
  <c r="W12" i="1"/>
  <c r="AO15" i="1"/>
  <c r="K18" i="1"/>
  <c r="Q19" i="1"/>
  <c r="K73" i="1"/>
  <c r="K86" i="1"/>
  <c r="K90" i="1"/>
  <c r="Q101" i="1"/>
  <c r="E182" i="1"/>
  <c r="E194" i="1"/>
  <c r="E132" i="1"/>
  <c r="E156" i="1"/>
  <c r="Q9" i="1"/>
  <c r="AC11" i="1"/>
  <c r="W18" i="1"/>
  <c r="K87" i="1"/>
  <c r="E186" i="1"/>
  <c r="E215" i="1"/>
  <c r="Q8" i="1"/>
  <c r="AI11" i="1"/>
  <c r="K15" i="1"/>
  <c r="W17" i="1"/>
  <c r="K81" i="1"/>
  <c r="E187" i="1"/>
  <c r="AI10" i="1"/>
  <c r="Q15" i="1"/>
  <c r="AC17" i="1"/>
  <c r="AO19" i="1"/>
  <c r="AO101" i="1"/>
  <c r="E106" i="1"/>
  <c r="E174" i="1"/>
  <c r="W7" i="1"/>
  <c r="AO10" i="1"/>
  <c r="Q14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C157" i="1"/>
  <c r="C155" i="1"/>
  <c r="C195" i="1"/>
  <c r="C22" i="1"/>
  <c r="C107" i="1"/>
  <c r="C144" i="1"/>
  <c r="C28" i="1"/>
  <c r="C228" i="1"/>
  <c r="C181" i="1"/>
  <c r="C159" i="1"/>
  <c r="C217" i="1"/>
  <c r="C121" i="1"/>
  <c r="C163" i="1"/>
  <c r="C164" i="1"/>
  <c r="C161" i="1"/>
  <c r="C162" i="1"/>
  <c r="E217" i="1" l="1"/>
  <c r="E225" i="1"/>
  <c r="E107" i="1"/>
  <c r="E201" i="1"/>
  <c r="E120" i="1"/>
  <c r="E221" i="1"/>
  <c r="E118" i="1"/>
  <c r="E154" i="1"/>
  <c r="E183" i="1"/>
  <c r="E162" i="1"/>
  <c r="E161" i="1"/>
  <c r="E164" i="1"/>
  <c r="E163" i="1"/>
  <c r="E155" i="1"/>
  <c r="E159" i="1"/>
  <c r="E134" i="1"/>
  <c r="E195" i="1"/>
  <c r="E228" i="1"/>
  <c r="E144" i="1"/>
  <c r="E157" i="1"/>
  <c r="E213" i="1"/>
  <c r="E121" i="1"/>
  <c r="E181" i="1"/>
  <c r="E180" i="1"/>
  <c r="E179" i="1"/>
  <c r="A109" i="1"/>
  <c r="C229" i="1"/>
  <c r="C112" i="1"/>
  <c r="C116" i="1"/>
  <c r="E22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C115" i="1"/>
  <c r="E115" i="1" l="1"/>
</calcChain>
</file>

<file path=xl/sharedStrings.xml><?xml version="1.0" encoding="utf-8"?>
<sst xmlns="http://schemas.openxmlformats.org/spreadsheetml/2006/main" count="400" uniqueCount="184">
  <si>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</si>
  <si>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</si>
  <si>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</si>
  <si>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</si>
  <si>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</si>
  <si>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</si>
  <si>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</si>
  <si>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</si>
  <si>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</si>
  <si>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</si>
  <si>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</si>
  <si>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</si>
  <si>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</si>
  <si>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</si>
  <si>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</si>
  <si>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</si>
  <si>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</si>
  <si>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</si>
  <si>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</si>
  <si>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</si>
  <si>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</si>
  <si>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</si>
  <si>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</si>
  <si>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</si>
  <si>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</si>
  <si>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</si>
  <si>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</si>
  <si>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</si>
  <si>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</si>
  <si>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</si>
  <si>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</si>
  <si>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</si>
  <si>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</si>
  <si>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</si>
  <si>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</si>
  <si>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</si>
  <si>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</si>
  <si>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</si>
  <si>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</si>
  <si>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</si>
  <si>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</si>
  <si>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</si>
  <si>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</si>
  <si>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</si>
  <si>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</si>
  <si>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</si>
  <si>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</si>
  <si>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</si>
  <si>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</si>
  <si>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</si>
  <si>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</si>
  <si>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</si>
  <si>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</si>
  <si>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</si>
  <si>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</si>
  <si>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</si>
  <si>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</si>
  <si>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</si>
  <si>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</si>
  <si>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</si>
  <si>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</si>
  <si>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</si>
  <si>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</si>
  <si>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</si>
  <si>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</si>
  <si>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</si>
  <si>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</si>
  <si>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</si>
  <si>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</si>
  <si>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</si>
  <si>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</si>
  <si>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</si>
  <si>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</si>
  <si>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</si>
  <si>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FtToM(ft)</t>
  </si>
  <si>
    <t>MToFt(m)</t>
  </si>
  <si>
    <t>MToNm(m)</t>
  </si>
  <si>
    <t>NmToM(nm)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</si>
  <si>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</si>
  <si>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</si>
  <si>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</si>
  <si>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</si>
  <si>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</si>
  <si>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</si>
  <si>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</si>
  <si>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</si>
  <si>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</si>
  <si>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</si>
  <si>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</si>
  <si>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</si>
  <si>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</si>
  <si>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</si>
  <si>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</si>
  <si>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</si>
  <si>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</si>
  <si>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</si>
  <si>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</si>
  <si>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</si>
  <si>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</si>
  <si>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</si>
  <si>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</si>
  <si>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</si>
  <si>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</si>
  <si>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</si>
  <si>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</si>
  <si>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</si>
  <si>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</si>
  <si>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</si>
  <si>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FtPerSecToMPerSec(ftPerSec)</t>
  </si>
  <si>
    <t>KtsToFtPerSec(kts)</t>
  </si>
  <si>
    <t>KtsToMPerSec(kts)</t>
  </si>
  <si>
    <t>MPerSecToFtPerSec(mPerSec)</t>
  </si>
  <si>
    <t>MPerSecToKts(mPerSec)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</si>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</sst>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ts"/>
      <definedName name="AeroConvFtPerSecToMPerSec"/>
      <definedName name="AeroConvFtToM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3ToSlugPerFt3"/>
      <definedName name="AeroConvKtsToFtPerSec"/>
      <definedName name="AeroConvKtsToMPerSec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PerSecToFtPerSec"/>
      <definedName name="AeroConvMPerSecToKts"/>
      <definedName name="AeroConvMToFt"/>
      <definedName name="AeroConvMToNm"/>
      <definedName name="AeroConvNmToFt"/>
      <definedName name="AeroConvNmToM"/>
      <definedName name="AeroConvRadToDeg"/>
      <definedName name="AeroConvRankineToCelsius"/>
      <definedName name="AeroConvRankineToFahrenheit"/>
      <definedName name="AeroConvRankineToKelvin"/>
      <definedName name="AeroConvSlugPerFt3ToKgPerM3"/>
      <definedName name="AeroDelta_fHp"/>
      <definedName name="AeroDGeoPtlAlt_fDHpIsaDevCBaseHp"/>
      <definedName name="AeroDHp_fDGeoPtlAltIsaDevCBaseHp"/>
      <definedName name="AeroGeoptlAlt_ft_fTapeAlt"/>
      <definedName name="AeroGeoptlAlt_m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Hp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PerSec_fISAdevCelsiusHp"/>
      <definedName name="AeroSpdSnd_mPerSec_fISAdevFahrenheitHp"/>
      <definedName name="AeroSpdSnd_mPerSec_fOATCelsius"/>
      <definedName name="AeroSpdSnd_mPerSec_fOATFahrenheit"/>
      <definedName name="AeroSpdSnd_mPerSec_fOATKelvin"/>
      <definedName name="AeroSpdSnd_mPerSec_fOATRankine"/>
      <definedName name="AeroSpdSnd_statuteMilesPerHr_fISAdevCelsiusHp"/>
      <definedName name="AeroSpdSnd_statuteMilesPerHr_fISAdevFahrenheitHp"/>
      <definedName name="AeroSpdSnd_statuteMilesPerHr_fOATCelsius"/>
      <definedName name="AeroSpdSnd_statuteMilesPerHr_fOATFahrenheit"/>
      <definedName name="AeroSpdSnd_statuteMilesPerHr_fOATKelvin"/>
      <definedName name="AeroSpdSnd_statuteMilesPerHr_fOATRankine"/>
      <definedName name="AeroSpdSndStdDay_ftPerSec_fHp"/>
      <definedName name="AeroSpdSndStdDay_kmPerHr_fHp"/>
      <definedName name="AeroSpdSndStdDay_KTS_fHp"/>
      <definedName name="AeroSpdSndStdDay_mPerSec_fHp"/>
      <definedName name="AeroSpdSndStdDay_statuteMilesPerHr_fHp"/>
      <definedName name="AeroTapeAlt_ft_fGeoptlAlt"/>
      <definedName name="AeroTapeAlt_m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Sec_fTheta"/>
      <definedName name="AeroViscDyn_SlugPerftSec_fTheta"/>
      <definedName name="AeroViscKin_ft2PerSec_fSigmaTheta"/>
      <definedName name="AeroViscKin_M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29"/>
  <sheetViews>
    <sheetView tabSelected="1" topLeftCell="A205" zoomScale="70" zoomScaleNormal="70" workbookViewId="0">
      <selection activeCell="E145" sqref="E145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181</v>
      </c>
    </row>
    <row r="2" spans="1:41" x14ac:dyDescent="0.25">
      <c r="A2" s="8" t="s">
        <v>182</v>
      </c>
    </row>
    <row r="3" spans="1:41" x14ac:dyDescent="0.25">
      <c r="A3" s="8" t="s">
        <v>183</v>
      </c>
    </row>
    <row r="5" spans="1:41" x14ac:dyDescent="0.25">
      <c r="A5" s="5" t="s">
        <v>167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114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-33.700000000000045</v>
      </c>
      <c r="Q8" s="10">
        <f t="shared" ref="Q8:Q19" si="2">(O8-P8)/P8*100</f>
        <v>0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425.96999999999997</v>
      </c>
      <c r="Q9" s="10">
        <f t="shared" si="2"/>
        <v>0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599.45934848488525</v>
      </c>
      <c r="Q10" s="10">
        <f t="shared" si="2"/>
        <v>0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[1]!AeroSpdSnd_statuteMilesPerHr_fOATCelsius(oatC)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[1]!AeroSpdSnd_statuteMilesPerHr_fOATKelvin(oatK)</f>
        <v>689.8454981619891</v>
      </c>
      <c r="P11">
        <v>689.8454981619891</v>
      </c>
      <c r="Q11" s="10">
        <f t="shared" si="2"/>
        <v>0</v>
      </c>
      <c r="T11" s="3" t="s">
        <v>30</v>
      </c>
      <c r="U11" s="9">
        <f>[1]!AeroSpdSnd_statuteMilesPerHr_fOATFahrenheit(oatF)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[1]!AeroSpdSnd_statuteMilesPerHr_fOATRankine(oatR)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1110.1987133940081</v>
      </c>
      <c r="Q12" s="10">
        <f t="shared" si="2"/>
        <v>0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[1]!AeroSpdSnd_statuteMilesPerHr_fISAdevCelsiusHp(isaDevC,hp)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[1]!AeroSpdSnd_statuteMilesPerHr_fISAdevFahrenheitHp(isaDevF,hp)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[1]!AeroSpdSndStdDay_statuteMilesPerHr_fHp(hp)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1011.7733973042507</v>
      </c>
      <c r="Q13" s="10">
        <f t="shared" si="2"/>
        <v>0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[1]!AeroSpdSnd_mPerSec_fOATKelvin(oatK)</f>
        <v>308.38853149833562</v>
      </c>
      <c r="P14">
        <v>308.38853149833562</v>
      </c>
      <c r="Q14" s="10">
        <f t="shared" si="2"/>
        <v>0</v>
      </c>
      <c r="T14" s="3" t="s">
        <v>29</v>
      </c>
      <c r="U14" s="9">
        <f>[1]!AeroSpdSnd_mPerSec_fOATFahrenheit(oatF)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5.3566921570916278E-4</v>
      </c>
      <c r="Q15" s="10">
        <f t="shared" si="2"/>
        <v>0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0.8212736422002429</v>
      </c>
      <c r="Q16" s="10">
        <f t="shared" si="2"/>
        <v>0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[1]!AeroISAdev_Celsius_fISAdevFahrenheitHp(isaDevF)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142</v>
      </c>
      <c r="C22" s="9">
        <f>[1]!AeroConvSlugPerFt3ToKgPerM3(C21)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113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115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116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117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178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168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169</v>
      </c>
      <c r="E93" s="11"/>
    </row>
    <row r="94" spans="1:11" x14ac:dyDescent="0.25">
      <c r="B94" s="3" t="s">
        <v>70</v>
      </c>
      <c r="C94" s="9">
        <f>[1]!AeroViscDyn_kgPerMSec_fTheta(C23)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170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161</v>
      </c>
      <c r="B103" s="12"/>
      <c r="C103" s="13"/>
    </row>
    <row r="104" spans="1:41" x14ac:dyDescent="0.25">
      <c r="A104" s="7" t="s">
        <v>86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87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100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98</v>
      </c>
    </row>
    <row r="109" spans="1:41" x14ac:dyDescent="0.25">
      <c r="A109" s="6">
        <f>C106</f>
        <v>1.2499999999999998</v>
      </c>
    </row>
    <row r="110" spans="1:41" x14ac:dyDescent="0.25">
      <c r="A110" s="7" t="s">
        <v>99</v>
      </c>
    </row>
    <row r="111" spans="1:41" x14ac:dyDescent="0.25">
      <c r="A111" s="6">
        <v>100</v>
      </c>
    </row>
    <row r="112" spans="1:41" x14ac:dyDescent="0.25">
      <c r="B112" s="3" t="s">
        <v>88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89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90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91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92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93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94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95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96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97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163</v>
      </c>
    </row>
    <row r="124" spans="1:5" x14ac:dyDescent="0.25">
      <c r="A124" s="14" t="s">
        <v>101</v>
      </c>
    </row>
    <row r="125" spans="1:5" x14ac:dyDescent="0.25">
      <c r="A125" s="1">
        <v>8000</v>
      </c>
    </row>
    <row r="126" spans="1:5" x14ac:dyDescent="0.25">
      <c r="A126" s="14" t="s">
        <v>102</v>
      </c>
    </row>
    <row r="127" spans="1:5" x14ac:dyDescent="0.25">
      <c r="A127" s="1">
        <v>-60</v>
      </c>
    </row>
    <row r="128" spans="1:5" x14ac:dyDescent="0.25">
      <c r="A128" s="14" t="s">
        <v>85</v>
      </c>
    </row>
    <row r="129" spans="1:5" x14ac:dyDescent="0.25">
      <c r="A129" s="1">
        <v>100</v>
      </c>
      <c r="B129"/>
    </row>
    <row r="130" spans="1:5" x14ac:dyDescent="0.25">
      <c r="A130" s="14" t="s">
        <v>99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103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105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104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166</v>
      </c>
    </row>
    <row r="137" spans="1:5" x14ac:dyDescent="0.25">
      <c r="A137" s="7" t="s">
        <v>147</v>
      </c>
    </row>
    <row r="138" spans="1:5" x14ac:dyDescent="0.25">
      <c r="A138" s="6">
        <v>28000</v>
      </c>
    </row>
    <row r="139" spans="1:5" x14ac:dyDescent="0.25">
      <c r="A139" s="7" t="s">
        <v>145</v>
      </c>
    </row>
    <row r="140" spans="1:5" x14ac:dyDescent="0.25">
      <c r="A140" s="6">
        <v>-30</v>
      </c>
    </row>
    <row r="141" spans="1:5" x14ac:dyDescent="0.25">
      <c r="A141" s="7" t="s">
        <v>146</v>
      </c>
    </row>
    <row r="142" spans="1:5" x14ac:dyDescent="0.25">
      <c r="A142" s="6">
        <v>5000</v>
      </c>
    </row>
    <row r="143" spans="1:5" x14ac:dyDescent="0.25">
      <c r="B143" s="3" t="s">
        <v>156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157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165</v>
      </c>
      <c r="D146" s="7"/>
    </row>
    <row r="147" spans="1:6" x14ac:dyDescent="0.25">
      <c r="A147" s="7" t="s">
        <v>158</v>
      </c>
      <c r="D147" s="7"/>
    </row>
    <row r="148" spans="1:6" x14ac:dyDescent="0.25">
      <c r="A148" s="6">
        <v>29.4</v>
      </c>
    </row>
    <row r="149" spans="1:6" x14ac:dyDescent="0.25">
      <c r="A149" s="7" t="s">
        <v>143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144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148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122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149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123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150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124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151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152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153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154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155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164</v>
      </c>
    </row>
    <row r="167" spans="1:35" x14ac:dyDescent="0.25">
      <c r="A167" s="7" t="s">
        <v>119</v>
      </c>
      <c r="G167" s="7" t="s">
        <v>119</v>
      </c>
      <c r="J167" s="8"/>
      <c r="K167" s="8"/>
      <c r="M167" s="7" t="s">
        <v>119</v>
      </c>
      <c r="N167" s="3"/>
      <c r="S167" s="7" t="s">
        <v>119</v>
      </c>
      <c r="T167" s="3"/>
      <c r="Y167" s="7" t="s">
        <v>119</v>
      </c>
      <c r="Z167" s="3"/>
      <c r="AE167" s="7" t="s">
        <v>119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120</v>
      </c>
      <c r="G169" s="7" t="s">
        <v>120</v>
      </c>
      <c r="J169" s="8"/>
      <c r="K169" s="8"/>
      <c r="M169" s="7" t="s">
        <v>120</v>
      </c>
      <c r="N169" s="3"/>
      <c r="S169" s="7" t="s">
        <v>120</v>
      </c>
      <c r="T169" s="3"/>
      <c r="Y169" s="7" t="s">
        <v>120</v>
      </c>
      <c r="Z169" s="3"/>
      <c r="AE169" s="7" t="s">
        <v>120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121</v>
      </c>
      <c r="G171" s="7" t="s">
        <v>121</v>
      </c>
      <c r="J171" s="8"/>
      <c r="K171" s="8"/>
      <c r="M171" s="7" t="s">
        <v>121</v>
      </c>
      <c r="N171" s="3"/>
      <c r="S171" s="7" t="s">
        <v>121</v>
      </c>
      <c r="T171" s="3"/>
      <c r="Y171" s="7" t="s">
        <v>121</v>
      </c>
      <c r="Z171" s="3"/>
      <c r="AE171" s="7" t="s">
        <v>121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179</v>
      </c>
      <c r="C173" s="9">
        <f>[1]!AeroWndHead_fAcHdgWndHdgWndSpd(A168,A170,A172)</f>
        <v>22.500000000000004</v>
      </c>
      <c r="D173" s="8">
        <v>22.500000000000004</v>
      </c>
      <c r="E173" s="10">
        <f t="shared" ref="E173:E174" si="44">(C173-D173)/D173*100</f>
        <v>0</v>
      </c>
      <c r="H173" s="3" t="s">
        <v>179</v>
      </c>
      <c r="I173" s="9">
        <f>[1]!AeroWndHead_fAcHdgWndHdgWndSpd(G168,G170,G172)</f>
        <v>-99999999.999999896</v>
      </c>
      <c r="J173" s="8">
        <v>-99999999.999999896</v>
      </c>
      <c r="K173" s="10">
        <f t="shared" ref="K173:K174" si="45">(I173-J173)/J173*100</f>
        <v>0</v>
      </c>
      <c r="M173" s="7"/>
      <c r="N173" s="3" t="s">
        <v>179</v>
      </c>
      <c r="O173" s="9">
        <f>[1]!AeroWndHead_fAcHdgWndHdgWndSpd(M168,M170,M172)</f>
        <v>-99999999.999999896</v>
      </c>
      <c r="P173" s="8">
        <v>-99999999.999999896</v>
      </c>
      <c r="Q173" s="10">
        <f t="shared" ref="Q173:Q174" si="46">(O173-P173)/P173*100</f>
        <v>0</v>
      </c>
      <c r="S173" s="7"/>
      <c r="T173" s="3" t="s">
        <v>179</v>
      </c>
      <c r="U173" s="9">
        <f>[1]!AeroWndHead_fAcHdgWndHdgWndSpd(S168,S170,S172)</f>
        <v>-99999999.999999896</v>
      </c>
      <c r="V173" s="8">
        <v>-99999999.999999896</v>
      </c>
      <c r="W173" s="10">
        <f t="shared" ref="W173:W174" si="47">(U173-V173)/V173*100</f>
        <v>0</v>
      </c>
      <c r="Y173" s="7"/>
      <c r="Z173" s="3" t="s">
        <v>179</v>
      </c>
      <c r="AA173" s="9">
        <f>[1]!AeroWndHead_fAcHdgWndHdgWndSpd(Y168,Y170,Y172)</f>
        <v>-99999999.999999896</v>
      </c>
      <c r="AB173" s="8">
        <v>-99999999.999999896</v>
      </c>
      <c r="AC173" s="10">
        <f t="shared" ref="AC173:AC174" si="48">(AA173-AB173)/AB173*100</f>
        <v>0</v>
      </c>
      <c r="AE173" s="7"/>
      <c r="AF173" s="3" t="s">
        <v>179</v>
      </c>
      <c r="AG173" s="9">
        <f>[1]!AeroWndHead_fAcHdgWndHdgWndSpd(AE168,AE170,AE172)</f>
        <v>-99999999.999999896</v>
      </c>
      <c r="AH173" s="8">
        <v>-99999999.999999896</v>
      </c>
      <c r="AI173" s="10">
        <f t="shared" ref="AI173:AI174" si="49">(AG173-AH173)/AH173*100</f>
        <v>0</v>
      </c>
    </row>
    <row r="174" spans="1:35" x14ac:dyDescent="0.25">
      <c r="B174" s="3" t="s">
        <v>180</v>
      </c>
      <c r="C174" s="9">
        <f>[1]!AeroWndCross_fAcHdgWndHdgWndSpd(A168,A170,A172)</f>
        <v>38.97114317029974</v>
      </c>
      <c r="D174" s="8">
        <v>38.97114317029974</v>
      </c>
      <c r="E174" s="10">
        <f t="shared" si="44"/>
        <v>0</v>
      </c>
      <c r="H174" s="3" t="s">
        <v>180</v>
      </c>
      <c r="I174" s="9">
        <f>[1]!AeroWndCross_fAcHdgWndHdgWndSpd(G168,G170,G172)</f>
        <v>-99999999.999999896</v>
      </c>
      <c r="J174" s="8">
        <v>-99999999.999999896</v>
      </c>
      <c r="K174" s="10">
        <f t="shared" si="45"/>
        <v>0</v>
      </c>
      <c r="M174" s="7"/>
      <c r="N174" s="3" t="s">
        <v>180</v>
      </c>
      <c r="O174" s="9">
        <f>[1]!AeroWndCross_fAcHdgWndHdgWndSpd(M168,M170,M172)</f>
        <v>-99999999.999999896</v>
      </c>
      <c r="P174" s="8">
        <v>-99999999.999999896</v>
      </c>
      <c r="Q174" s="10">
        <f t="shared" si="46"/>
        <v>0</v>
      </c>
      <c r="S174" s="7"/>
      <c r="T174" s="3" t="s">
        <v>180</v>
      </c>
      <c r="U174" s="9">
        <f>[1]!AeroWndCross_fAcHdgWndHdgWndSpd(S168,S170,S172)</f>
        <v>-99999999.999999896</v>
      </c>
      <c r="V174" s="8">
        <v>-99999999.999999896</v>
      </c>
      <c r="W174" s="10">
        <f t="shared" si="47"/>
        <v>0</v>
      </c>
      <c r="Y174" s="7"/>
      <c r="Z174" s="3" t="s">
        <v>180</v>
      </c>
      <c r="AA174" s="9">
        <f>[1]!AeroWndCross_fAcHdgWndHdgWndSpd(Y168,Y170,Y172)</f>
        <v>-99999999.999999896</v>
      </c>
      <c r="AB174" s="8">
        <v>-99999999.999999896</v>
      </c>
      <c r="AC174" s="10">
        <f t="shared" si="48"/>
        <v>0</v>
      </c>
      <c r="AE174" s="7"/>
      <c r="AF174" s="3" t="s">
        <v>180</v>
      </c>
      <c r="AG174" s="9">
        <f>[1]!AeroWndCross_fAcHdgWndHdgWndSpd(AE168,AE170,AE172)</f>
        <v>-99999999.999999896</v>
      </c>
      <c r="AH174" s="8">
        <v>-99999999.999999896</v>
      </c>
      <c r="AI174" s="10">
        <f t="shared" si="49"/>
        <v>0</v>
      </c>
    </row>
    <row r="176" spans="1:35" x14ac:dyDescent="0.25">
      <c r="A176" s="5" t="s">
        <v>162</v>
      </c>
    </row>
    <row r="177" spans="1:5" x14ac:dyDescent="0.25">
      <c r="A177" s="7" t="s">
        <v>174</v>
      </c>
    </row>
    <row r="178" spans="1:5" x14ac:dyDescent="0.25">
      <c r="A178" s="6">
        <v>6076.1</v>
      </c>
      <c r="B178" s="3" t="s">
        <v>74</v>
      </c>
      <c r="C178" s="9">
        <f>[1]!AeroConvFtToM(lengthFeet)</f>
        <v>1851.9952800000001</v>
      </c>
      <c r="D178" s="8">
        <v>1851.9952800000001</v>
      </c>
      <c r="E178" s="10">
        <f t="shared" ref="E178:E183" si="50">(C178-D178)/D178*100</f>
        <v>0</v>
      </c>
    </row>
    <row r="179" spans="1:5" x14ac:dyDescent="0.25">
      <c r="B179" s="3" t="s">
        <v>75</v>
      </c>
      <c r="C179" s="9">
        <f>[1]!AeroConvMToFt(C178)</f>
        <v>6076.1</v>
      </c>
      <c r="D179" s="8">
        <v>6076.1</v>
      </c>
      <c r="E179" s="10">
        <f t="shared" si="50"/>
        <v>0</v>
      </c>
    </row>
    <row r="180" spans="1:5" x14ac:dyDescent="0.25">
      <c r="B180" s="3" t="s">
        <v>76</v>
      </c>
      <c r="C180" s="9">
        <f>[1]!AeroConvMToNm(C178)</f>
        <v>0.99999745140388774</v>
      </c>
      <c r="D180" s="8">
        <v>0.99999745140388774</v>
      </c>
      <c r="E180" s="10">
        <f t="shared" si="50"/>
        <v>0</v>
      </c>
    </row>
    <row r="181" spans="1:5" x14ac:dyDescent="0.25">
      <c r="B181" s="3" t="s">
        <v>77</v>
      </c>
      <c r="C181" s="9">
        <f>[1]!AeroConvNmToM(C180)</f>
        <v>1851.9952800000001</v>
      </c>
      <c r="D181" s="8">
        <v>1851.9952800000001</v>
      </c>
      <c r="E181" s="10">
        <f t="shared" si="50"/>
        <v>0</v>
      </c>
    </row>
    <row r="182" spans="1:5" x14ac:dyDescent="0.25">
      <c r="B182" s="3" t="s">
        <v>78</v>
      </c>
      <c r="C182" s="9">
        <f>[1]!AeroConvFtToNm(lengthFeet)</f>
        <v>0.99999745140388774</v>
      </c>
      <c r="D182" s="8">
        <v>0.99999745140388774</v>
      </c>
      <c r="E182" s="10">
        <f t="shared" si="50"/>
        <v>0</v>
      </c>
    </row>
    <row r="183" spans="1:5" x14ac:dyDescent="0.25">
      <c r="B183" s="3" t="s">
        <v>79</v>
      </c>
      <c r="C183" s="9">
        <f>[1]!AeroConvNmToFt(C182)</f>
        <v>6076.1</v>
      </c>
      <c r="D183" s="8">
        <v>6076.1</v>
      </c>
      <c r="E183" s="10">
        <f t="shared" si="50"/>
        <v>0</v>
      </c>
    </row>
    <row r="184" spans="1:5" x14ac:dyDescent="0.25">
      <c r="A184" s="7" t="s">
        <v>173</v>
      </c>
    </row>
    <row r="185" spans="1:5" x14ac:dyDescent="0.25">
      <c r="A185" s="6">
        <v>100</v>
      </c>
    </row>
    <row r="186" spans="1:5" x14ac:dyDescent="0.25">
      <c r="B186" s="3" t="s">
        <v>107</v>
      </c>
      <c r="C186" s="9">
        <f>[1]!AeroConvFtPerSecToKts(A185)</f>
        <v>59.248380129589592</v>
      </c>
      <c r="D186" s="8">
        <v>59.248380129589592</v>
      </c>
      <c r="E186" s="10">
        <f t="shared" ref="E186:E191" si="51">(C186-D186)/D186*100</f>
        <v>0</v>
      </c>
    </row>
    <row r="187" spans="1:5" x14ac:dyDescent="0.25">
      <c r="B187" s="3" t="s">
        <v>108</v>
      </c>
      <c r="C187" s="9">
        <f>[1]!AeroConvFtPerSecToMPerSec(A185)</f>
        <v>30.48</v>
      </c>
      <c r="D187" s="8">
        <v>30.48</v>
      </c>
      <c r="E187" s="10">
        <f t="shared" si="51"/>
        <v>0</v>
      </c>
    </row>
    <row r="188" spans="1:5" x14ac:dyDescent="0.25">
      <c r="B188" s="3" t="s">
        <v>109</v>
      </c>
      <c r="C188" s="9">
        <f>[1]!AeroConvKtsToFtPerSec(C186)</f>
        <v>100</v>
      </c>
      <c r="D188" s="8">
        <v>100</v>
      </c>
      <c r="E188" s="10">
        <f t="shared" si="51"/>
        <v>0</v>
      </c>
    </row>
    <row r="189" spans="1:5" x14ac:dyDescent="0.25">
      <c r="B189" s="3" t="s">
        <v>110</v>
      </c>
      <c r="C189" s="9">
        <f>[1]!AeroConvKtsToMPerSec(C186)</f>
        <v>30.48</v>
      </c>
      <c r="D189" s="8">
        <v>30.48</v>
      </c>
      <c r="E189" s="10">
        <f t="shared" si="51"/>
        <v>0</v>
      </c>
    </row>
    <row r="190" spans="1:5" x14ac:dyDescent="0.25">
      <c r="B190" s="3" t="s">
        <v>111</v>
      </c>
      <c r="C190" s="9">
        <f>[1]!AeroConvMPerSecToFtPerSec(C189)</f>
        <v>100</v>
      </c>
      <c r="D190" s="8">
        <v>100</v>
      </c>
      <c r="E190" s="10">
        <f t="shared" si="51"/>
        <v>0</v>
      </c>
    </row>
    <row r="191" spans="1:5" x14ac:dyDescent="0.25">
      <c r="B191" s="3" t="s">
        <v>112</v>
      </c>
      <c r="C191" s="9">
        <f>[1]!AeroConvMPerSecToKts(C189)</f>
        <v>59.248380129589592</v>
      </c>
      <c r="D191" s="8">
        <v>59.248380129589592</v>
      </c>
      <c r="E191" s="10">
        <f t="shared" si="51"/>
        <v>0</v>
      </c>
    </row>
    <row r="192" spans="1:5" x14ac:dyDescent="0.25">
      <c r="A192" s="7" t="s">
        <v>172</v>
      </c>
    </row>
    <row r="193" spans="1:5" x14ac:dyDescent="0.25">
      <c r="A193" s="6">
        <v>45</v>
      </c>
    </row>
    <row r="194" spans="1:5" x14ac:dyDescent="0.25">
      <c r="B194" s="3" t="s">
        <v>159</v>
      </c>
      <c r="C194" s="9">
        <f>[1]!AeroConvDegToRad(A193)</f>
        <v>0.78539816339744828</v>
      </c>
      <c r="D194" s="8">
        <v>0.78539816339744828</v>
      </c>
      <c r="E194" s="10">
        <f t="shared" ref="E194:E195" si="52">(C194-D194)/D194*100</f>
        <v>0</v>
      </c>
    </row>
    <row r="195" spans="1:5" x14ac:dyDescent="0.25">
      <c r="B195" s="3" t="s">
        <v>160</v>
      </c>
      <c r="C195" s="9">
        <f>[1]!AeroConvRadToDeg(C194)</f>
        <v>45</v>
      </c>
      <c r="D195" s="8">
        <v>45</v>
      </c>
      <c r="E195" s="10">
        <f t="shared" si="52"/>
        <v>0</v>
      </c>
    </row>
    <row r="196" spans="1:5" x14ac:dyDescent="0.25">
      <c r="A196" s="7" t="s">
        <v>118</v>
      </c>
    </row>
    <row r="197" spans="1:5" x14ac:dyDescent="0.25">
      <c r="A197" s="6">
        <v>27.614699999999999</v>
      </c>
    </row>
    <row r="198" spans="1:5" x14ac:dyDescent="0.25">
      <c r="B198" s="3" t="s">
        <v>122</v>
      </c>
      <c r="C198" s="9">
        <f>[1]!AeroConvHPaToInHg(A197)</f>
        <v>0.81546154325448139</v>
      </c>
      <c r="D198" s="8">
        <v>0.81546154325448139</v>
      </c>
      <c r="E198" s="10">
        <f t="shared" ref="E198:E209" si="53">(C198-D198)/D198*100</f>
        <v>0</v>
      </c>
    </row>
    <row r="199" spans="1:5" x14ac:dyDescent="0.25">
      <c r="B199" s="3" t="s">
        <v>123</v>
      </c>
      <c r="C199" s="9">
        <f>[1]!AeroConvHPaToLbfPerFt2(A197)</f>
        <v>57.674500071817093</v>
      </c>
      <c r="D199" s="8">
        <v>57.674500071817093</v>
      </c>
      <c r="E199" s="10">
        <f t="shared" si="53"/>
        <v>0</v>
      </c>
    </row>
    <row r="200" spans="1:5" x14ac:dyDescent="0.25">
      <c r="B200" s="3" t="s">
        <v>124</v>
      </c>
      <c r="C200" s="9">
        <f>[1]!AeroConvHPaToLbfPerInch2(A197)</f>
        <v>0.40051736160984092</v>
      </c>
      <c r="D200" s="8">
        <v>0.40051736160984092</v>
      </c>
      <c r="E200" s="10">
        <f>(C200-D200)/D200*100</f>
        <v>0</v>
      </c>
    </row>
    <row r="201" spans="1:5" x14ac:dyDescent="0.25">
      <c r="B201" s="3" t="s">
        <v>125</v>
      </c>
      <c r="C201" s="9">
        <f>[1]!AeroConvInHgToHPa(C198)</f>
        <v>27.614699999999999</v>
      </c>
      <c r="D201" s="8">
        <f>A197</f>
        <v>27.614699999999999</v>
      </c>
      <c r="E201" s="10">
        <f t="shared" si="53"/>
        <v>0</v>
      </c>
    </row>
    <row r="202" spans="1:5" x14ac:dyDescent="0.25">
      <c r="B202" s="3" t="s">
        <v>126</v>
      </c>
      <c r="C202" s="9">
        <f>[1]!AeroConvInHgToLbfPerFt2(C198)</f>
        <v>57.674500071817093</v>
      </c>
      <c r="D202" s="8">
        <v>57.674500071817093</v>
      </c>
      <c r="E202" s="10">
        <f t="shared" si="53"/>
        <v>0</v>
      </c>
    </row>
    <row r="203" spans="1:5" x14ac:dyDescent="0.25">
      <c r="B203" s="3" t="s">
        <v>127</v>
      </c>
      <c r="C203" s="9">
        <f>[1]!AeroConvInHgToLbfPerInch2(C198)</f>
        <v>0.40051736160984092</v>
      </c>
      <c r="D203" s="8">
        <v>0.40051736160984092</v>
      </c>
      <c r="E203" s="10">
        <f t="shared" si="53"/>
        <v>0</v>
      </c>
    </row>
    <row r="204" spans="1:5" x14ac:dyDescent="0.25">
      <c r="B204" s="3" t="s">
        <v>128</v>
      </c>
      <c r="C204" s="9">
        <f>[1]!AeroConvLbfPerFt2ToHPa(C202)</f>
        <v>27.614699999999999</v>
      </c>
      <c r="D204" s="8">
        <f>A197</f>
        <v>27.614699999999999</v>
      </c>
      <c r="E204" s="10">
        <f t="shared" si="53"/>
        <v>0</v>
      </c>
    </row>
    <row r="205" spans="1:5" x14ac:dyDescent="0.25">
      <c r="B205" s="3" t="s">
        <v>129</v>
      </c>
      <c r="C205" s="9">
        <f>[1]!AeroConvLbfPerFt2ToInHg(C202)</f>
        <v>0.81546154325448139</v>
      </c>
      <c r="D205" s="8">
        <v>0.81546154325448139</v>
      </c>
      <c r="E205" s="10">
        <f t="shared" si="53"/>
        <v>0</v>
      </c>
    </row>
    <row r="206" spans="1:5" x14ac:dyDescent="0.25">
      <c r="B206" s="3" t="s">
        <v>130</v>
      </c>
      <c r="C206" s="9">
        <f>[1]!AeroConvLbfPerFt2ToLbfPerInch2(C202)</f>
        <v>0.40051736160984092</v>
      </c>
      <c r="D206" s="8">
        <v>0.40051736160984092</v>
      </c>
      <c r="E206" s="10">
        <f t="shared" si="53"/>
        <v>0</v>
      </c>
    </row>
    <row r="207" spans="1:5" x14ac:dyDescent="0.25">
      <c r="B207" s="3" t="s">
        <v>131</v>
      </c>
      <c r="C207" s="9">
        <f>[1]!AeroConvLbfPerInch2ToHPa(C206)</f>
        <v>27.614699999999999</v>
      </c>
      <c r="D207" s="8">
        <f>A197</f>
        <v>27.614699999999999</v>
      </c>
      <c r="E207" s="10">
        <f t="shared" si="53"/>
        <v>0</v>
      </c>
    </row>
    <row r="208" spans="1:5" x14ac:dyDescent="0.25">
      <c r="B208" s="3" t="s">
        <v>132</v>
      </c>
      <c r="C208" s="9">
        <f>[1]!AeroConvLbfPerInch2ToInHg(C206)</f>
        <v>0.81546154325448139</v>
      </c>
      <c r="D208" s="8">
        <v>0.81546154325448139</v>
      </c>
      <c r="E208" s="10">
        <f t="shared" si="53"/>
        <v>0</v>
      </c>
    </row>
    <row r="209" spans="1:5" x14ac:dyDescent="0.25">
      <c r="B209" s="3" t="s">
        <v>133</v>
      </c>
      <c r="C209" s="9">
        <f>[1]!AeroConvLbfPerInch2ToLbfPerFt2(C206)</f>
        <v>57.674500071817093</v>
      </c>
      <c r="D209" s="8">
        <v>57.674500071817093</v>
      </c>
      <c r="E209" s="10">
        <f t="shared" si="53"/>
        <v>0</v>
      </c>
    </row>
    <row r="211" spans="1:5" x14ac:dyDescent="0.25">
      <c r="B211" s="3" t="s">
        <v>134</v>
      </c>
      <c r="C211" s="9">
        <f>[1]!AeroHp_ft_fPstaticHPa(A197)</f>
        <v>80000.036833259204</v>
      </c>
      <c r="D211" s="8">
        <v>80000.036833259204</v>
      </c>
      <c r="E211" s="10">
        <f t="shared" ref="E211:E218" si="54">(C211-D211)/D211*100</f>
        <v>0</v>
      </c>
    </row>
    <row r="212" spans="1:5" x14ac:dyDescent="0.25">
      <c r="B212" s="3" t="s">
        <v>135</v>
      </c>
      <c r="C212" s="9">
        <f>[1]!AeroHp_ft_fPstaticInHg(C198)</f>
        <v>80000.036833259204</v>
      </c>
      <c r="D212" s="8">
        <v>80000.036833259204</v>
      </c>
      <c r="E212" s="10">
        <f t="shared" si="54"/>
        <v>0</v>
      </c>
    </row>
    <row r="213" spans="1:5" x14ac:dyDescent="0.25">
      <c r="B213" s="3" t="s">
        <v>136</v>
      </c>
      <c r="C213" s="9">
        <f>[1]!AeroHp_ft_fPstaticLbPerFt2(C199)</f>
        <v>80000.036833259204</v>
      </c>
      <c r="D213" s="8">
        <v>80000.036833259204</v>
      </c>
      <c r="E213" s="10">
        <f t="shared" si="54"/>
        <v>0</v>
      </c>
    </row>
    <row r="214" spans="1:5" x14ac:dyDescent="0.25">
      <c r="B214" s="3" t="s">
        <v>137</v>
      </c>
      <c r="C214" s="9">
        <f>[1]!AeroHp_ft_fPstaticLbPerInch2(C200)</f>
        <v>80000.036833259204</v>
      </c>
      <c r="D214" s="8">
        <v>80000.036833259204</v>
      </c>
      <c r="E214" s="10">
        <f t="shared" si="54"/>
        <v>0</v>
      </c>
    </row>
    <row r="215" spans="1:5" x14ac:dyDescent="0.25">
      <c r="B215" s="3" t="s">
        <v>138</v>
      </c>
      <c r="C215" s="9">
        <f>[1]!AeroHp_ft_fQfeHPa(A197)</f>
        <v>80000.036833259204</v>
      </c>
      <c r="D215" s="8">
        <v>80000.036833259204</v>
      </c>
      <c r="E215" s="10">
        <f t="shared" si="54"/>
        <v>0</v>
      </c>
    </row>
    <row r="216" spans="1:5" x14ac:dyDescent="0.25">
      <c r="B216" s="3" t="s">
        <v>139</v>
      </c>
      <c r="C216" s="9">
        <f>[1]!AeroHp_ft_fQfeInHg(C198)</f>
        <v>80000.036833259204</v>
      </c>
      <c r="D216" s="8">
        <v>80000.036833259204</v>
      </c>
      <c r="E216" s="10">
        <f t="shared" si="54"/>
        <v>0</v>
      </c>
    </row>
    <row r="217" spans="1:5" x14ac:dyDescent="0.25">
      <c r="B217" s="3" t="s">
        <v>140</v>
      </c>
      <c r="C217" s="9">
        <f>[1]!AeroHp_ft_fQfeLbPerFt2(C199)</f>
        <v>80000.036833259204</v>
      </c>
      <c r="D217" s="8">
        <v>80000.036833259204</v>
      </c>
      <c r="E217" s="10">
        <f t="shared" si="54"/>
        <v>0</v>
      </c>
    </row>
    <row r="218" spans="1:5" x14ac:dyDescent="0.25">
      <c r="B218" s="3" t="s">
        <v>141</v>
      </c>
      <c r="C218" s="9">
        <f>[1]!AeroHp_ft_fQfeLbPerInch2(C200)</f>
        <v>80000.036833259204</v>
      </c>
      <c r="D218" s="8">
        <v>80000.036833259204</v>
      </c>
      <c r="E218" s="10">
        <f t="shared" si="54"/>
        <v>0</v>
      </c>
    </row>
    <row r="219" spans="1:5" x14ac:dyDescent="0.25">
      <c r="A219" s="7" t="s">
        <v>171</v>
      </c>
    </row>
    <row r="220" spans="1:5" x14ac:dyDescent="0.25">
      <c r="A220" s="6">
        <v>152</v>
      </c>
      <c r="B220" s="12" t="s">
        <v>106</v>
      </c>
      <c r="C220" s="16">
        <f>[1]!AeroConvGradFtPerNmToPct(A220)</f>
        <v>2.5015982721382288</v>
      </c>
      <c r="D220" s="8">
        <v>2.5015982721382288</v>
      </c>
      <c r="E220" s="10">
        <f t="shared" ref="E220:E225" si="55">(C220-D220)/D220*100</f>
        <v>0</v>
      </c>
    </row>
    <row r="221" spans="1:5" x14ac:dyDescent="0.25">
      <c r="B221" s="12" t="s">
        <v>80</v>
      </c>
      <c r="C221" s="16">
        <f>[1]!AeroConvGradPctToFtPerNm(C220)</f>
        <v>152</v>
      </c>
      <c r="D221" s="8">
        <f>A220</f>
        <v>152</v>
      </c>
      <c r="E221" s="10">
        <f t="shared" si="55"/>
        <v>0</v>
      </c>
    </row>
    <row r="222" spans="1:5" x14ac:dyDescent="0.25">
      <c r="B222" s="12" t="s">
        <v>81</v>
      </c>
      <c r="C222" s="16">
        <f>[1]!AeroConvGradPctToDeg(C220)</f>
        <v>1.4330113542979013</v>
      </c>
      <c r="D222" s="8">
        <v>1.4330113542979013</v>
      </c>
      <c r="E222" s="10">
        <f t="shared" si="55"/>
        <v>0</v>
      </c>
    </row>
    <row r="223" spans="1:5" x14ac:dyDescent="0.25">
      <c r="B223" s="12" t="s">
        <v>82</v>
      </c>
      <c r="C223" s="16">
        <f>[1]!AeroConvGradDegToPct(C222)</f>
        <v>2.5015982721382288</v>
      </c>
      <c r="D223" s="8">
        <v>2.5015982721382288</v>
      </c>
      <c r="E223" s="10">
        <f t="shared" si="55"/>
        <v>0</v>
      </c>
    </row>
    <row r="224" spans="1:5" x14ac:dyDescent="0.25">
      <c r="B224" s="12" t="s">
        <v>83</v>
      </c>
      <c r="C224" s="16">
        <f>[1]!AeroConvGradFtPerNmToDeg(A220)</f>
        <v>1.4330113542979013</v>
      </c>
      <c r="D224" s="8">
        <v>1.4330113542979013</v>
      </c>
      <c r="E224" s="10">
        <f t="shared" si="55"/>
        <v>0</v>
      </c>
    </row>
    <row r="225" spans="1:5" x14ac:dyDescent="0.25">
      <c r="B225" s="12" t="s">
        <v>84</v>
      </c>
      <c r="C225" s="16">
        <f>[1]!AeroConvGradDegToFtPerNm(C222)</f>
        <v>151.99999999999997</v>
      </c>
      <c r="D225" s="8">
        <f>A220</f>
        <v>152</v>
      </c>
      <c r="E225" s="10">
        <f t="shared" si="55"/>
        <v>-1.8698493046318424E-14</v>
      </c>
    </row>
    <row r="226" spans="1:5" x14ac:dyDescent="0.25">
      <c r="A226" s="7" t="s">
        <v>175</v>
      </c>
    </row>
    <row r="227" spans="1:5" x14ac:dyDescent="0.25">
      <c r="A227" s="6">
        <f>[1]!AeroRhoStdDay_SlugPerft3_fHp(0)</f>
        <v>2.37689240667515E-3</v>
      </c>
    </row>
    <row r="228" spans="1:5" x14ac:dyDescent="0.25">
      <c r="B228" s="3" t="s">
        <v>177</v>
      </c>
      <c r="C228" s="9">
        <f>[1]!AeroConvSlugPerFt3ToKgPerM3(A227)</f>
        <v>1.2249999999999988</v>
      </c>
      <c r="D228" s="8">
        <v>1.2249999999999988</v>
      </c>
      <c r="E228" s="10">
        <f t="shared" ref="E228:E229" si="56">(C228-D228)/D228*100</f>
        <v>0</v>
      </c>
    </row>
    <row r="229" spans="1:5" x14ac:dyDescent="0.25">
      <c r="B229" s="3" t="s">
        <v>176</v>
      </c>
      <c r="C229" s="9">
        <f>[1]!AeroConvKgPerM3ToSlugPerFt3(C228)</f>
        <v>2.37689240667515E-3</v>
      </c>
      <c r="D229" s="8">
        <f>A227</f>
        <v>2.37689240667515E-3</v>
      </c>
      <c r="E229" s="10">
        <f t="shared" si="56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2019-03-26T07:17:06Z</dcterms:modified>
</cp:coreProperties>
</file>