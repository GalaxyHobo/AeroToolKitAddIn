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E9BE89F0-6CF0-4DA9-B44F-86E410D4D23F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SampleTest!$A$179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D272" i="1" l="1"/>
  <c r="D271" i="1"/>
  <c r="D270" i="1"/>
  <c r="D269" i="1"/>
  <c r="D268" i="1"/>
  <c r="D265" i="1"/>
  <c r="D261" i="1"/>
  <c r="D263" i="1" s="1"/>
  <c r="C272" i="1"/>
  <c r="C271" i="1"/>
  <c r="C270" i="1"/>
  <c r="C269" i="1"/>
  <c r="C268" i="1"/>
  <c r="C267" i="1"/>
  <c r="C265" i="1"/>
  <c r="C264" i="1"/>
  <c r="C263" i="1"/>
  <c r="C262" i="1"/>
  <c r="C261" i="1"/>
  <c r="C260" i="1"/>
  <c r="E268" i="1" l="1"/>
  <c r="E267" i="1"/>
  <c r="E272" i="1"/>
  <c r="E271" i="1"/>
  <c r="E270" i="1"/>
  <c r="E269" i="1"/>
  <c r="E260" i="1"/>
  <c r="E265" i="1"/>
  <c r="E264" i="1"/>
  <c r="E263" i="1"/>
  <c r="E262" i="1"/>
  <c r="E261" i="1"/>
  <c r="D233" i="1"/>
  <c r="D230" i="1"/>
  <c r="D236" i="1"/>
  <c r="D255" i="1"/>
  <c r="D251" i="1"/>
  <c r="U175" i="1"/>
  <c r="I57" i="1"/>
  <c r="AM25" i="1"/>
  <c r="AM12" i="1"/>
  <c r="AG17" i="1"/>
  <c r="AG8" i="1"/>
  <c r="O17" i="1"/>
  <c r="O7" i="1"/>
  <c r="C254" i="1"/>
  <c r="C245" i="1"/>
  <c r="C236" i="1"/>
  <c r="C224" i="1"/>
  <c r="C214" i="1"/>
  <c r="C206" i="1"/>
  <c r="C194" i="1"/>
  <c r="C186" i="1"/>
  <c r="C174" i="1"/>
  <c r="C133" i="1"/>
  <c r="C81" i="1"/>
  <c r="C68" i="1"/>
  <c r="C58" i="1"/>
  <c r="C48" i="1"/>
  <c r="C34" i="1"/>
  <c r="C24" i="1"/>
  <c r="C95" i="1" s="1"/>
  <c r="C16" i="1"/>
  <c r="C7" i="1"/>
  <c r="C202" i="1"/>
  <c r="C232" i="1"/>
  <c r="C102" i="1"/>
  <c r="C40" i="1"/>
  <c r="AG174" i="1"/>
  <c r="I92" i="1"/>
  <c r="AG25" i="1"/>
  <c r="C248" i="1"/>
  <c r="C197" i="1"/>
  <c r="C118" i="1"/>
  <c r="C51" i="1"/>
  <c r="C96" i="1"/>
  <c r="C35" i="1"/>
  <c r="U174" i="1"/>
  <c r="AG68" i="1"/>
  <c r="O67" i="1"/>
  <c r="I88" i="1"/>
  <c r="I76" i="1"/>
  <c r="AM24" i="1"/>
  <c r="AM10" i="1"/>
  <c r="AG16" i="1"/>
  <c r="AG7" i="1"/>
  <c r="O16" i="1"/>
  <c r="C253" i="1"/>
  <c r="C244" i="1"/>
  <c r="C235" i="1"/>
  <c r="C221" i="1"/>
  <c r="C213" i="1"/>
  <c r="C205" i="1"/>
  <c r="C193" i="1"/>
  <c r="C185" i="1"/>
  <c r="C114" i="1"/>
  <c r="C115" i="1" s="1"/>
  <c r="C91" i="1"/>
  <c r="C80" i="1"/>
  <c r="C67" i="1"/>
  <c r="C57" i="1"/>
  <c r="C44" i="1"/>
  <c r="C32" i="1"/>
  <c r="C23" i="1"/>
  <c r="C15" i="1"/>
  <c r="C228" i="1"/>
  <c r="G7" i="1"/>
  <c r="I175" i="1"/>
  <c r="AG65" i="1"/>
  <c r="O64" i="1"/>
  <c r="I61" i="1"/>
  <c r="AG13" i="1"/>
  <c r="O25" i="1"/>
  <c r="I8" i="1"/>
  <c r="C210" i="1"/>
  <c r="C182" i="1"/>
  <c r="C119" i="1"/>
  <c r="C74" i="1"/>
  <c r="C52" i="1"/>
  <c r="C11" i="1"/>
  <c r="I174" i="1"/>
  <c r="AG64" i="1"/>
  <c r="AG12" i="1"/>
  <c r="I17" i="1"/>
  <c r="C239" i="1"/>
  <c r="C209" i="1"/>
  <c r="C181" i="1"/>
  <c r="C61" i="1"/>
  <c r="C19" i="1"/>
  <c r="C49" i="1"/>
  <c r="C225" i="1"/>
  <c r="O175" i="1"/>
  <c r="O102" i="1"/>
  <c r="AG67" i="1"/>
  <c r="O66" i="1"/>
  <c r="I87" i="1"/>
  <c r="I75" i="1"/>
  <c r="I65" i="1"/>
  <c r="I53" i="1"/>
  <c r="AM20" i="1"/>
  <c r="AM9" i="1"/>
  <c r="AG15" i="1"/>
  <c r="O15" i="1"/>
  <c r="I24" i="1"/>
  <c r="I12" i="1"/>
  <c r="C252" i="1"/>
  <c r="C243" i="1"/>
  <c r="C234" i="1"/>
  <c r="C220" i="1"/>
  <c r="C212" i="1"/>
  <c r="C204" i="1"/>
  <c r="C192" i="1"/>
  <c r="C184" i="1"/>
  <c r="C121" i="1"/>
  <c r="C122" i="1" s="1"/>
  <c r="C90" i="1"/>
  <c r="C79" i="1"/>
  <c r="C66" i="1"/>
  <c r="C56" i="1"/>
  <c r="C43" i="1"/>
  <c r="C31" i="1"/>
  <c r="C22" i="1"/>
  <c r="C14" i="1"/>
  <c r="S7" i="1"/>
  <c r="AM68" i="1"/>
  <c r="AM16" i="1"/>
  <c r="O13" i="1"/>
  <c r="C241" i="1"/>
  <c r="C198" i="1"/>
  <c r="C88" i="1"/>
  <c r="C28" i="1"/>
  <c r="I72" i="1"/>
  <c r="O12" i="1"/>
  <c r="C217" i="1"/>
  <c r="C87" i="1"/>
  <c r="C38" i="1"/>
  <c r="C10" i="1"/>
  <c r="C59" i="1"/>
  <c r="C17" i="1"/>
  <c r="O174" i="1"/>
  <c r="I102" i="1"/>
  <c r="AG66" i="1"/>
  <c r="U68" i="1"/>
  <c r="O65" i="1"/>
  <c r="I84" i="1"/>
  <c r="I64" i="1"/>
  <c r="I52" i="1"/>
  <c r="AM17" i="1"/>
  <c r="AM8" i="1"/>
  <c r="AG14" i="1"/>
  <c r="U17" i="1"/>
  <c r="U7" i="1"/>
  <c r="O14" i="1"/>
  <c r="I21" i="1"/>
  <c r="I9" i="1"/>
  <c r="C251" i="1"/>
  <c r="C242" i="1"/>
  <c r="C233" i="1"/>
  <c r="C219" i="1"/>
  <c r="C211" i="1"/>
  <c r="C199" i="1"/>
  <c r="C191" i="1"/>
  <c r="C183" i="1"/>
  <c r="C120" i="1"/>
  <c r="C107" i="1"/>
  <c r="C108" i="1" s="1"/>
  <c r="C89" i="1"/>
  <c r="C75" i="1"/>
  <c r="C65" i="1"/>
  <c r="C53" i="1"/>
  <c r="C41" i="1"/>
  <c r="C29" i="1"/>
  <c r="C21" i="1"/>
  <c r="C13" i="1"/>
  <c r="A151" i="1"/>
  <c r="AG175" i="1"/>
  <c r="U67" i="1"/>
  <c r="I83" i="1"/>
  <c r="I73" i="1"/>
  <c r="AM7" i="1"/>
  <c r="U16" i="1"/>
  <c r="I20" i="1"/>
  <c r="C250" i="1"/>
  <c r="C218" i="1"/>
  <c r="C190" i="1"/>
  <c r="C64" i="1"/>
  <c r="C20" i="1"/>
  <c r="C203" i="1"/>
  <c r="AM67" i="1"/>
  <c r="U66" i="1"/>
  <c r="I60" i="1"/>
  <c r="AM15" i="1"/>
  <c r="O24" i="1"/>
  <c r="I7" i="1"/>
  <c r="C231" i="1"/>
  <c r="C189" i="1"/>
  <c r="C144" i="1"/>
  <c r="C145" i="1" s="1"/>
  <c r="C73" i="1"/>
  <c r="A257" i="1"/>
  <c r="C257" i="1" s="1"/>
  <c r="C71" i="1"/>
  <c r="C25" i="1"/>
  <c r="C98" i="1" s="1"/>
  <c r="AA175" i="1"/>
  <c r="AM102" i="1"/>
  <c r="AM66" i="1"/>
  <c r="U65" i="1"/>
  <c r="I91" i="1"/>
  <c r="I81" i="1"/>
  <c r="I71" i="1"/>
  <c r="I49" i="1"/>
  <c r="AM14" i="1"/>
  <c r="AG24" i="1"/>
  <c r="AG10" i="1"/>
  <c r="U14" i="1"/>
  <c r="O21" i="1"/>
  <c r="O9" i="1"/>
  <c r="I16" i="1"/>
  <c r="C258" i="1"/>
  <c r="C247" i="1"/>
  <c r="C238" i="1"/>
  <c r="C230" i="1"/>
  <c r="C216" i="1"/>
  <c r="C208" i="1"/>
  <c r="C196" i="1"/>
  <c r="C188" i="1"/>
  <c r="C180" i="1"/>
  <c r="C159" i="1"/>
  <c r="C160" i="1" s="1"/>
  <c r="C97" i="1"/>
  <c r="C83" i="1"/>
  <c r="C72" i="1"/>
  <c r="C60" i="1"/>
  <c r="C50" i="1"/>
  <c r="C37" i="1"/>
  <c r="C26" i="1"/>
  <c r="C27" i="1" s="1"/>
  <c r="C18" i="1"/>
  <c r="C9" i="1"/>
  <c r="Y7" i="1"/>
  <c r="AA174" i="1"/>
  <c r="AG102" i="1"/>
  <c r="AM65" i="1"/>
  <c r="AA67" i="1"/>
  <c r="U64" i="1"/>
  <c r="I90" i="1"/>
  <c r="I80" i="1"/>
  <c r="I68" i="1"/>
  <c r="I58" i="1"/>
  <c r="I48" i="1"/>
  <c r="AM13" i="1"/>
  <c r="AG20" i="1"/>
  <c r="AG9" i="1"/>
  <c r="AA16" i="1"/>
  <c r="U25" i="1"/>
  <c r="U13" i="1"/>
  <c r="O20" i="1"/>
  <c r="O8" i="1"/>
  <c r="I15" i="1"/>
  <c r="C255" i="1"/>
  <c r="C246" i="1"/>
  <c r="C237" i="1"/>
  <c r="C229" i="1"/>
  <c r="C215" i="1"/>
  <c r="C207" i="1"/>
  <c r="C195" i="1"/>
  <c r="C187" i="1"/>
  <c r="C175" i="1"/>
  <c r="C134" i="1"/>
  <c r="C135" i="1" s="1"/>
  <c r="C82" i="1"/>
  <c r="C8" i="1"/>
  <c r="I67" i="1"/>
  <c r="O68" i="1"/>
  <c r="AA66" i="1"/>
  <c r="AM64" i="1"/>
  <c r="I13" i="1"/>
  <c r="I25" i="1"/>
  <c r="I56" i="1"/>
  <c r="I66" i="1"/>
  <c r="I14" i="1"/>
  <c r="I79" i="1"/>
  <c r="U8" i="1"/>
  <c r="U20" i="1"/>
  <c r="U15" i="1"/>
  <c r="I50" i="1"/>
  <c r="U9" i="1"/>
  <c r="U21" i="1"/>
  <c r="U102" i="1"/>
  <c r="U12" i="1"/>
  <c r="U24" i="1"/>
  <c r="I89" i="1"/>
  <c r="C154" i="1"/>
  <c r="C155" i="1"/>
  <c r="C156" i="1" s="1"/>
  <c r="C157" i="1"/>
  <c r="C158" i="1" s="1"/>
  <c r="C163" i="1"/>
  <c r="C162" i="1"/>
  <c r="C164" i="1"/>
  <c r="C165" i="1"/>
  <c r="AA7" i="1"/>
  <c r="AA17" i="1"/>
  <c r="I59" i="1"/>
  <c r="AA68" i="1"/>
  <c r="AA20" i="1"/>
  <c r="AA12" i="1"/>
  <c r="AA24" i="1"/>
  <c r="I74" i="1"/>
  <c r="AA9" i="1"/>
  <c r="AA13" i="1"/>
  <c r="AA25" i="1"/>
  <c r="AA64" i="1"/>
  <c r="I82" i="1"/>
  <c r="AA21" i="1"/>
  <c r="AA14" i="1"/>
  <c r="AA65" i="1"/>
  <c r="AA8" i="1"/>
  <c r="I51" i="1"/>
  <c r="AA15" i="1"/>
  <c r="AA102" i="1"/>
  <c r="E155" i="1" l="1"/>
  <c r="E157" i="1"/>
  <c r="E196" i="1"/>
  <c r="E197" i="1"/>
  <c r="E198" i="1"/>
  <c r="E199" i="1"/>
  <c r="E191" i="1"/>
  <c r="E190" i="1"/>
  <c r="E188" i="1"/>
  <c r="E189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185" i="1"/>
  <c r="E187" i="1"/>
  <c r="E195" i="1"/>
  <c r="E193" i="1"/>
  <c r="E218" i="1"/>
  <c r="E220" i="1"/>
  <c r="E221" i="1"/>
  <c r="E219" i="1"/>
  <c r="E216" i="1"/>
  <c r="E194" i="1"/>
  <c r="E183" i="1"/>
  <c r="E212" i="1"/>
  <c r="E181" i="1"/>
  <c r="E209" i="1"/>
  <c r="E213" i="1"/>
  <c r="E217" i="1"/>
  <c r="E207" i="1"/>
  <c r="E210" i="1"/>
  <c r="E205" i="1"/>
  <c r="E204" i="1"/>
  <c r="E203" i="1"/>
  <c r="E180" i="1"/>
  <c r="E208" i="1"/>
  <c r="E206" i="1"/>
  <c r="E215" i="1"/>
  <c r="E238" i="1"/>
  <c r="D258" i="1"/>
  <c r="E43" i="1"/>
  <c r="E44" i="1"/>
  <c r="E253" i="1"/>
  <c r="E232" i="1"/>
  <c r="E231" i="1"/>
  <c r="E233" i="1"/>
  <c r="E120" i="1"/>
  <c r="E230" i="1"/>
  <c r="E252" i="1"/>
  <c r="E246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28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34" i="1"/>
  <c r="E250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35" i="1"/>
  <c r="E243" i="1"/>
  <c r="E114" i="1"/>
  <c r="AI15" i="1"/>
  <c r="K25" i="1"/>
  <c r="AO66" i="1"/>
  <c r="K75" i="1"/>
  <c r="E239" i="1"/>
  <c r="E254" i="1"/>
  <c r="E159" i="1"/>
  <c r="W20" i="1"/>
  <c r="K57" i="1"/>
  <c r="E237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44" i="1"/>
  <c r="AO8" i="1"/>
  <c r="AC17" i="1"/>
  <c r="AO12" i="1"/>
  <c r="Q20" i="1"/>
  <c r="K21" i="1"/>
  <c r="K73" i="1"/>
  <c r="K88" i="1"/>
  <c r="K91" i="1"/>
  <c r="K102" i="1"/>
  <c r="E224" i="1"/>
  <c r="E133" i="1"/>
  <c r="K8" i="1"/>
  <c r="W15" i="1"/>
  <c r="AC20" i="1"/>
  <c r="K87" i="1"/>
  <c r="E202" i="1"/>
  <c r="E245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182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K64" i="1" l="1"/>
  <c r="E242" i="1"/>
  <c r="E229" i="1"/>
  <c r="E186" i="1"/>
  <c r="E248" i="1"/>
  <c r="E184" i="1"/>
  <c r="E211" i="1"/>
  <c r="E115" i="1"/>
  <c r="E23" i="1"/>
  <c r="E192" i="1"/>
  <c r="E214" i="1"/>
  <c r="E247" i="1"/>
  <c r="E255" i="1"/>
  <c r="E108" i="1"/>
  <c r="E236" i="1"/>
  <c r="E121" i="1"/>
  <c r="E251" i="1"/>
  <c r="E119" i="1"/>
  <c r="E164" i="1"/>
  <c r="E165" i="1"/>
  <c r="E163" i="1"/>
  <c r="E162" i="1"/>
  <c r="E156" i="1"/>
  <c r="E160" i="1"/>
  <c r="E135" i="1"/>
  <c r="E225" i="1"/>
  <c r="E257" i="1"/>
  <c r="E145" i="1"/>
  <c r="E158" i="1"/>
  <c r="E241" i="1"/>
  <c r="E122" i="1"/>
  <c r="A110" i="1"/>
  <c r="C113" i="1"/>
  <c r="C116" i="1" s="1"/>
  <c r="C117" i="1"/>
  <c r="E258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E116" i="1" l="1"/>
</calcChain>
</file>

<file path=xl/sharedStrings.xml><?xml version="1.0" encoding="utf-8"?>
<sst xmlns="http://schemas.openxmlformats.org/spreadsheetml/2006/main" count="430" uniqueCount="231">
  <si>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</si>
  <si>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</si>
  <si>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</si>
  <si>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</si>
  <si>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</si>
  <si>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</si>
  <si>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</si>
  <si>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</si>
  <si>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</si>
  <si>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</si>
  <si>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</si>
  <si>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</si>
  <si>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</si>
  <si>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</si>
  <si>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</si>
  <si>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</si>
  <si>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</si>
  <si>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</si>
  <si>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</si>
  <si>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</si>
  <si>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</si>
  <si>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</si>
  <si>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</si>
  <si>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</si>
  <si>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</si>
  <si>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</si>
  <si>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</si>
  <si>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</si>
  <si>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</si>
  <si>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</si>
  <si>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</si>
  <si>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</si>
  <si>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</si>
  <si>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</si>
  <si>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</si>
  <si>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</si>
  <si>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</si>
  <si>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</si>
  <si>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</si>
  <si>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</si>
  <si>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</si>
  <si>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</si>
  <si>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</si>
  <si>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</si>
  <si>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</si>
  <si>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</si>
  <si>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</si>
  <si>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</si>
  <si>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</si>
  <si>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</si>
  <si>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</si>
  <si>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</si>
  <si>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</si>
  <si>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</si>
  <si>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</si>
  <si>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</si>
  <si>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</si>
  <si>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</si>
  <si>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</si>
  <si>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</si>
  <si>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</si>
  <si>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</si>
  <si>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</si>
  <si>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</si>
  <si>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</si>
  <si>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</si>
  <si>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</si>
  <si>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</si>
  <si>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</si>
  <si>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</si>
  <si>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</si>
  <si>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</si>
  <si>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</si>
  <si>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</si>
  <si>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</si>
  <si>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</si>
  <si>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</si>
  <si>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</si>
  <si>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</si>
  <si>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</si>
  <si>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</si>
  <si>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</si>
  <si>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</si>
  <si>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</si>
  <si>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</si>
  <si>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</si>
  <si>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</si>
  <si>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</si>
  <si>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</si>
  <si>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</si>
  <si>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</si>
  <si>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</si>
  <si>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</si>
  <si>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</si>
  <si>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</si>
  <si>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</si>
  <si>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</si>
  <si>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</si>
  <si>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</si>
  <si>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</si>
  <si>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</si>
  <si>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</si>
  <si>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</si>
  <si>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</si>
  <si>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</si>
  <si>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</si>
  <si>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</si>
  <si>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</si>
  <si>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</si>
  <si>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</si>
  <si>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</si>
  <si>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</si>
  <si>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</si>
  <si>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</si>
  <si>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</si>
  <si>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</si>
  <si>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</si>
  <si>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</si>
  <si>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</si>
  <si>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</si>
  <si>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</si>
  <si>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</si>
  <si>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</si>
  <si>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</si>
  <si>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</si>
  <si>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</si>
  <si>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</si>
  <si>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</si>
  <si>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</si>
  <si>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</si>
  <si>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</si>
  <si>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</si>
  <si>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</si>
  <si>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</si>
  <si>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</si>
  <si>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</si>
  <si>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</si>
  <si>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</si>
  <si>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</si>
  <si>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</si>
  <si>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</si>
  <si>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</si>
  <si>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</si>
  <si>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</si>
  <si>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</si>
  <si>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</si>
  <si>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</si>
  <si>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</si>
  <si>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</si>
  <si>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</si>
  <si>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</si>
  <si>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</si>
  <si>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</si>
  <si>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</si>
  <si>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</si>
  <si>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</si>
  <si>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</si>
  <si>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</si>
  <si>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</si>
  <si>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</si>
  <si>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</si>
  <si>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</si>
  <si>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</si>
  <si>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</si>
  <si>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</si>
  <si>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</si>
  <si>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</si>
  <si>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</si>
  <si>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</si>
  <si>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</si>
  <si>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</si>
  <si>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</si>
  <si>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</si>
  <si>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</si>
  <si>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</si>
  <si>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</si>
  <si>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</si>
  <si>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</si>
  <si>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</si>
  <si>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</si>
  <si>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</si>
  <si>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</si>
  <si>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</si>
  <si>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</si>
  <si>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</si>
  <si>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</si>
  <si>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</si>
  <si>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</si>
  <si>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</si>
  <si>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</si>
  <si>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</si>
  <si>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</si>
  <si>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</si>
  <si>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</si>
  <si>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</si>
  <si>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</si>
  <si>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</si>
  <si>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</si>
  <si>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</si>
  <si>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</si>
  <si>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</si>
  <si>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</si>
  <si>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</si>
  <si>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</si>
  <si>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</si>
  <si>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</si>
  <si>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</si>
  <si>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</si>
  <si>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</si>
  <si>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</si>
  <si>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</si>
  <si>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</si>
  <si>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</si>
  <si>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</si>
  <si>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</si>
  <si>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</si>
  <si>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</si>
  <si>
    <t>Force-lbf</t>
  </si>
  <si>
    <t>LbfToNewton</t>
  </si>
  <si>
    <t>LbfToKiloNewton</t>
  </si>
  <si>
    <t>NewtonToLbf</t>
  </si>
  <si>
    <t>NewtonToKiloNewton</t>
  </si>
  <si>
    <t>KiloNewtonToLbf</t>
  </si>
  <si>
    <t>KiloNewtonToNewton</t>
  </si>
  <si>
    <t>Torque-lbf-ft</t>
  </si>
  <si>
    <t>LbfFtToLbfInch</t>
  </si>
  <si>
    <t>LbfFtToNewtonMeter</t>
  </si>
  <si>
    <t>LbfInchToLbfFt</t>
  </si>
  <si>
    <t>LbfInchToNewtonMeter</t>
  </si>
  <si>
    <t>NewtonMeterToLbfFt</t>
  </si>
  <si>
    <t>NewtonMeterToLbfInch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</si>
</sst>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DegToRad"/>
      <definedName name="AeroConvFahrenheitToCelsius"/>
      <definedName name="AeroConvFahrenheitToKelvin"/>
      <definedName name="AeroConvFahrenheitToRankine"/>
      <definedName name="AeroConvFtPerNmToDeg"/>
      <definedName name="AeroConvFtPerNmToPctGrad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iloNewtonToLbf"/>
      <definedName name="AeroConvKiloNewtonToNewton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FtToLbfInch"/>
      <definedName name="AeroConvLbfFtToNewtonMeter"/>
      <definedName name="AeroConvLbfInchToLbfFt"/>
      <definedName name="AeroConvLbfInchToNewtonMete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LbfToKiloNewton"/>
      <definedName name="AeroConvLbfToNewton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ewtonMeterToLbfFt"/>
      <definedName name="AeroConvNewtonMeterToLbfInch"/>
      <definedName name="AeroConvNewtonToKiloNewton"/>
      <definedName name="AeroConvNewtonToLbf"/>
      <definedName name="AeroConvNmToFt"/>
      <definedName name="AeroConvNmToKm"/>
      <definedName name="AeroConvNmToMeter"/>
      <definedName name="AeroConvNmToMile"/>
      <definedName name="AeroConvPctGradToDeg"/>
      <definedName name="AeroConvPctGradToFtPerNm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isadevcelsius"/>
      <definedName name="AeroKTAS_fHpKCASisadevfahrenheit"/>
      <definedName name="AeroKTAS_fHpKCASOATCelsius"/>
      <definedName name="AeroKTAS_fHpKCASOATFahrenheit"/>
      <definedName name="AeroKTAS_fHpKCASOATKelvin"/>
      <definedName name="AeroKTAS_fHpKCASOATRankine"/>
      <definedName name="aeroktas_fhpkeasisadevcelsius"/>
      <definedName name="aeroktas_fhpkeasisadevfahrenheit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272"/>
  <sheetViews>
    <sheetView tabSelected="1" topLeftCell="A241" zoomScale="85" zoomScaleNormal="85" workbookViewId="0">
      <selection activeCell="D250" sqref="D250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3" t="s">
        <v>24</v>
      </c>
      <c r="C6" s="24"/>
      <c r="D6"/>
      <c r="E6"/>
      <c r="G6" s="3" t="s">
        <v>42</v>
      </c>
      <c r="H6" s="23" t="s">
        <v>43</v>
      </c>
      <c r="I6" s="24"/>
      <c r="J6"/>
      <c r="K6"/>
      <c r="M6" s="3" t="s">
        <v>15</v>
      </c>
      <c r="N6" s="23" t="s">
        <v>16</v>
      </c>
      <c r="O6" s="24"/>
      <c r="S6" s="3" t="s">
        <v>45</v>
      </c>
      <c r="T6" s="23" t="s">
        <v>44</v>
      </c>
      <c r="U6" s="24"/>
      <c r="V6"/>
      <c r="W6"/>
      <c r="Y6" s="3" t="s">
        <v>17</v>
      </c>
      <c r="Z6" s="23" t="s">
        <v>18</v>
      </c>
      <c r="AA6" s="24"/>
      <c r="AB6"/>
      <c r="AC6"/>
      <c r="AE6" s="3" t="s">
        <v>46</v>
      </c>
      <c r="AF6" s="23" t="s">
        <v>47</v>
      </c>
      <c r="AG6" s="24"/>
      <c r="AH6"/>
      <c r="AI6"/>
      <c r="AK6" s="3" t="s">
        <v>49</v>
      </c>
      <c r="AL6" s="23" t="s">
        <v>50</v>
      </c>
      <c r="AM6" s="24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[1]!AeroConvKelvinToCelsius(oatK)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[1]!AeroKTAS_fHpKCASisadevcelsius(hp,KCAS,isaDevC)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[1]!AeroKTAS_fHpKCASisadevfahrenheit(hp,KCAS,isaDevF)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[1]!aeroktas_fhpkeasisadevcelsius(hp,KEAS,isaDevC)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[1]!aeroktas_fhpkeasisadevfahrenheit(hp,KEAS,isaDevF)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[1]!AeroKTAS_fMachHpISAdevCelsius(Mach,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[1]!AeroKTAS_fHpQISAdevCelsius(hp,QPSF,isaDevC)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[1]!AeroHp_fQnhHPaGeoPtlAlt(A151,A153)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[1]!AeroConvHPaToInHg(A151)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[1]!AeroHp_fQnhInHgGeoPtlAlt(C155,A153)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[1]!AeroConvHPaToLbfPerFt2(A151)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[1]!AeroHp_fQnhLbfPerFt2GeoPtlAlt(C157,A153)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[1]!AeroConvHPaToLbfPerInch2(A151)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[1]!AeroHp_fQnhLbfPerInch2GeoPtlAlt(C159,A153)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[1]!AeroQnh_lbPerFt2_fHpGeoPtlAlt(C160,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[1]!AeroQnh_lbPerInch2_fHpGeoPtlAlt(C160,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[1]!AeroQnh_inHg_fHpGeoPtlAlt(C160,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[1]!AeroQnh_hPa_fHpGeoPtlAlt(C160,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x14ac:dyDescent="0.25">
      <c r="A177" s="5" t="s">
        <v>151</v>
      </c>
    </row>
    <row r="178" spans="1:41" x14ac:dyDescent="0.25">
      <c r="A178" s="7" t="s">
        <v>163</v>
      </c>
    </row>
    <row r="179" spans="1:41" x14ac:dyDescent="0.25">
      <c r="A179" s="6">
        <v>6076.1</v>
      </c>
    </row>
    <row r="180" spans="1:41" s="20" customFormat="1" x14ac:dyDescent="0.25">
      <c r="A180" s="22"/>
      <c r="B180" s="3" t="s">
        <v>71</v>
      </c>
      <c r="C180" s="9">
        <f>[1]!AeroConvFtToNm(lengthFeet)</f>
        <v>0.99999745140388774</v>
      </c>
      <c r="D180" s="8">
        <v>0.99999745140388774</v>
      </c>
      <c r="E180" s="10">
        <f t="shared" ref="E180:E199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x14ac:dyDescent="0.25">
      <c r="B181" s="3" t="s">
        <v>176</v>
      </c>
      <c r="C181" s="9">
        <f>[1]!AeroConvFtToMile(lengthFeet)</f>
        <v>1.1507765151515152</v>
      </c>
      <c r="D181" s="8">
        <v>1.1507765151515152</v>
      </c>
      <c r="E181" s="10">
        <f t="shared" si="40"/>
        <v>0</v>
      </c>
    </row>
    <row r="182" spans="1:41" x14ac:dyDescent="0.25">
      <c r="B182" s="3" t="s">
        <v>180</v>
      </c>
      <c r="C182" s="9">
        <f>[1]!AeroConvFtToMeter(lengthFeet)</f>
        <v>1851.9952800000001</v>
      </c>
      <c r="D182" s="8">
        <v>1851.9952800000001</v>
      </c>
      <c r="E182" s="10">
        <f t="shared" si="40"/>
        <v>0</v>
      </c>
    </row>
    <row r="183" spans="1:41" x14ac:dyDescent="0.25">
      <c r="B183" s="3" t="s">
        <v>175</v>
      </c>
      <c r="C183" s="9">
        <f>[1]!AeroConvFtToKm(lengthFeet)</f>
        <v>1.8519952800000001</v>
      </c>
      <c r="D183" s="8">
        <v>1.8519952800000001</v>
      </c>
      <c r="E183" s="10">
        <f t="shared" si="40"/>
        <v>0</v>
      </c>
    </row>
    <row r="184" spans="1:41" x14ac:dyDescent="0.25">
      <c r="B184" s="3" t="s">
        <v>72</v>
      </c>
      <c r="C184" s="9">
        <f>[1]!AeroConvNmToFt(D193)</f>
        <v>6076.1</v>
      </c>
      <c r="D184" s="8">
        <v>6076.1</v>
      </c>
      <c r="E184" s="10">
        <f t="shared" si="40"/>
        <v>0</v>
      </c>
    </row>
    <row r="185" spans="1:41" x14ac:dyDescent="0.25">
      <c r="B185" s="3" t="s">
        <v>178</v>
      </c>
      <c r="C185" s="9">
        <f>[1]!AeroConvNmToMile(D193)</f>
        <v>1.1507765151515152</v>
      </c>
      <c r="D185" s="8">
        <v>1.1507765151515152</v>
      </c>
      <c r="E185" s="10">
        <f t="shared" si="40"/>
        <v>0</v>
      </c>
    </row>
    <row r="186" spans="1:41" x14ac:dyDescent="0.25">
      <c r="B186" s="3" t="s">
        <v>179</v>
      </c>
      <c r="C186" s="9">
        <f>[1]!AeroConvNmToMeter(D193)</f>
        <v>1851.9952800000001</v>
      </c>
      <c r="D186" s="8">
        <v>1851.9952800000001</v>
      </c>
      <c r="E186" s="10">
        <f t="shared" si="40"/>
        <v>0</v>
      </c>
    </row>
    <row r="187" spans="1:41" x14ac:dyDescent="0.25">
      <c r="B187" s="3" t="s">
        <v>177</v>
      </c>
      <c r="C187" s="9">
        <f>[1]!AeroConvNmToKm(D193)</f>
        <v>1.8519952800000001</v>
      </c>
      <c r="D187" s="8">
        <v>1.8519952800000001</v>
      </c>
      <c r="E187" s="10">
        <f t="shared" si="40"/>
        <v>0</v>
      </c>
    </row>
    <row r="188" spans="1:41" x14ac:dyDescent="0.25">
      <c r="B188" s="3" t="s">
        <v>199</v>
      </c>
      <c r="C188" s="9">
        <f>[1]!AeroConvMileToFt(D194)</f>
        <v>6076.1</v>
      </c>
      <c r="D188" s="8">
        <v>6076.1</v>
      </c>
      <c r="E188" s="10">
        <f t="shared" si="40"/>
        <v>0</v>
      </c>
    </row>
    <row r="189" spans="1:41" x14ac:dyDescent="0.25">
      <c r="B189" s="3" t="s">
        <v>200</v>
      </c>
      <c r="C189" s="9">
        <f>[1]!AeroConvMileToNm(D181)</f>
        <v>0.99999745140388774</v>
      </c>
      <c r="D189" s="8">
        <v>0.99999745140388774</v>
      </c>
      <c r="E189" s="10">
        <f t="shared" si="40"/>
        <v>0</v>
      </c>
    </row>
    <row r="190" spans="1:41" x14ac:dyDescent="0.25">
      <c r="B190" s="3" t="s">
        <v>201</v>
      </c>
      <c r="C190" s="9">
        <f>[1]!AeroConvMileToMeter(D181)</f>
        <v>1851.9952800000001</v>
      </c>
      <c r="D190" s="8">
        <v>1851.9952800000001</v>
      </c>
      <c r="E190" s="10">
        <f t="shared" si="40"/>
        <v>0</v>
      </c>
    </row>
    <row r="191" spans="1:41" x14ac:dyDescent="0.25">
      <c r="B191" s="3" t="s">
        <v>202</v>
      </c>
      <c r="C191" s="9">
        <f>[1]!AeroConvMileToKm(D181)</f>
        <v>1.8519952800000001</v>
      </c>
      <c r="D191" s="8">
        <v>1.8519952800000001</v>
      </c>
      <c r="E191" s="10">
        <f t="shared" si="40"/>
        <v>0</v>
      </c>
    </row>
    <row r="192" spans="1:41" s="18" customFormat="1" x14ac:dyDescent="0.25">
      <c r="A192" s="7"/>
      <c r="B192" s="3" t="s">
        <v>195</v>
      </c>
      <c r="C192" s="9">
        <f>[1]!AeroConvMeterToFt(D182)</f>
        <v>6076.1</v>
      </c>
      <c r="D192" s="8">
        <v>6076.1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196</v>
      </c>
      <c r="C193" s="9">
        <f>[1]!AeroConvMeterToNm(D182)</f>
        <v>0.99999745140388774</v>
      </c>
      <c r="D193" s="8">
        <v>0.99999745140388774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198</v>
      </c>
      <c r="C194" s="9">
        <f>[1]!AeroConvMeterToMile(D182)</f>
        <v>1.1507765151515152</v>
      </c>
      <c r="D194" s="8">
        <v>1.1507765151515152</v>
      </c>
      <c r="E194" s="10">
        <f t="shared" si="40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197</v>
      </c>
      <c r="C195" s="9">
        <f>[1]!AeroConvMeterToKm(D182)</f>
        <v>1.8519952800000001</v>
      </c>
      <c r="D195" s="8">
        <v>1.8519952800000001</v>
      </c>
      <c r="E195" s="10">
        <f t="shared" si="40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203</v>
      </c>
      <c r="C196" s="9">
        <f>[1]!AeroConvKmToFt(D183)</f>
        <v>6076.1</v>
      </c>
      <c r="D196" s="8">
        <v>6076.1</v>
      </c>
      <c r="E196" s="10">
        <f t="shared" si="40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204</v>
      </c>
      <c r="C197" s="9">
        <f>[1]!AeroConvKmToNm(D183)</f>
        <v>0.99999745140388774</v>
      </c>
      <c r="D197" s="8">
        <v>0.99999745140388774</v>
      </c>
      <c r="E197" s="10">
        <f t="shared" si="40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18" customFormat="1" x14ac:dyDescent="0.25">
      <c r="A198" s="7"/>
      <c r="B198" s="3" t="s">
        <v>205</v>
      </c>
      <c r="C198" s="9">
        <f>[1]!AeroConvKmToMile(D183)</f>
        <v>1.1507765151515152</v>
      </c>
      <c r="D198" s="8">
        <v>1.1507765151515152</v>
      </c>
      <c r="E198" s="10">
        <f t="shared" si="40"/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18" customFormat="1" x14ac:dyDescent="0.25">
      <c r="A199" s="7"/>
      <c r="B199" s="3" t="s">
        <v>206</v>
      </c>
      <c r="C199" s="9">
        <f>[1]!AeroConvKmToMeter(D183)</f>
        <v>1851.9952800000001</v>
      </c>
      <c r="D199" s="8">
        <v>1851.9952800000001</v>
      </c>
      <c r="E199" s="10">
        <f t="shared" si="40"/>
        <v>0</v>
      </c>
      <c r="G199" s="7"/>
      <c r="H199" s="3"/>
      <c r="I199" s="8"/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x14ac:dyDescent="0.25">
      <c r="A200" s="7" t="s">
        <v>162</v>
      </c>
    </row>
    <row r="201" spans="1:41" x14ac:dyDescent="0.25">
      <c r="A201" s="6">
        <v>100</v>
      </c>
    </row>
    <row r="202" spans="1:41" x14ac:dyDescent="0.25">
      <c r="B202" s="3" t="s">
        <v>100</v>
      </c>
      <c r="C202" s="9">
        <f>[1]!AeroConvFtPerSecToKts(A201)</f>
        <v>59.248380129589592</v>
      </c>
      <c r="D202" s="8">
        <v>59.248380129589592</v>
      </c>
      <c r="E202" s="10">
        <f t="shared" ref="E202" si="41">(C202-D202)/D202*100</f>
        <v>0</v>
      </c>
    </row>
    <row r="203" spans="1:41" x14ac:dyDescent="0.25">
      <c r="B203" s="3" t="s">
        <v>187</v>
      </c>
      <c r="C203" s="9">
        <f>[1]!AeroConvFtPerSecToMilePerHr(A201)</f>
        <v>68.181818181818187</v>
      </c>
      <c r="D203" s="8">
        <v>68.181799999999996</v>
      </c>
      <c r="E203" s="10">
        <f>(C203-D203)/D203*100</f>
        <v>2.6666673791928385E-5</v>
      </c>
    </row>
    <row r="204" spans="1:41" x14ac:dyDescent="0.25">
      <c r="B204" s="3" t="s">
        <v>181</v>
      </c>
      <c r="C204" s="9">
        <f>[1]!AeroConvFtPerSecToMeterPerSec(A201)</f>
        <v>30.48</v>
      </c>
      <c r="D204" s="8">
        <v>30.48</v>
      </c>
      <c r="E204" s="10">
        <f>(C204-D204)/D204*100</f>
        <v>0</v>
      </c>
    </row>
    <row r="205" spans="1:41" x14ac:dyDescent="0.25">
      <c r="B205" s="3" t="s">
        <v>171</v>
      </c>
      <c r="C205" s="9">
        <f>[1]!AeroConvFtPerSecToKmPerHr(A201)</f>
        <v>109.72799999999999</v>
      </c>
      <c r="D205" s="8">
        <v>109.72799999999999</v>
      </c>
      <c r="E205" s="10">
        <f>(C205-D205)/D205*100</f>
        <v>0</v>
      </c>
    </row>
    <row r="206" spans="1:41" x14ac:dyDescent="0.25">
      <c r="B206" s="3" t="s">
        <v>101</v>
      </c>
      <c r="C206" s="9">
        <f>[1]!AeroConvKtsToFtPerSec(D202)</f>
        <v>100</v>
      </c>
      <c r="D206" s="8">
        <v>100</v>
      </c>
      <c r="E206" s="10">
        <f t="shared" ref="E206:E220" si="42">(C206-D206)/D206*100</f>
        <v>0</v>
      </c>
    </row>
    <row r="207" spans="1:41" x14ac:dyDescent="0.25">
      <c r="B207" s="3" t="s">
        <v>188</v>
      </c>
      <c r="C207" s="9">
        <f>[1]!AeroConvKtsToMilePerHr(D202)</f>
        <v>68.181818181818187</v>
      </c>
      <c r="D207" s="8">
        <v>68.181799999999996</v>
      </c>
      <c r="E207" s="10">
        <f t="shared" ref="E207:E219" si="43">(C207-D207)/D207*100</f>
        <v>2.6666673791928385E-5</v>
      </c>
    </row>
    <row r="208" spans="1:41" x14ac:dyDescent="0.25">
      <c r="B208" s="3" t="s">
        <v>182</v>
      </c>
      <c r="C208" s="9">
        <f>[1]!AeroConvKtsToMeterPerSec(D202)</f>
        <v>30.48</v>
      </c>
      <c r="D208" s="8">
        <v>30.48</v>
      </c>
      <c r="E208" s="10">
        <f t="shared" si="43"/>
        <v>0</v>
      </c>
    </row>
    <row r="209" spans="1:5" x14ac:dyDescent="0.25">
      <c r="B209" s="3" t="s">
        <v>172</v>
      </c>
      <c r="C209" s="9">
        <f>[1]!AeroConvKtsToKmPerHr(D202)</f>
        <v>109.72799999999992</v>
      </c>
      <c r="D209" s="8">
        <v>109.72799999999999</v>
      </c>
      <c r="E209" s="10">
        <f t="shared" si="43"/>
        <v>-6.4754915405375128E-14</v>
      </c>
    </row>
    <row r="210" spans="1:5" x14ac:dyDescent="0.25">
      <c r="B210" s="3" t="s">
        <v>193</v>
      </c>
      <c r="C210" s="9">
        <f>[1]!AeroConvMilePerHrToFtPerSec(D203)</f>
        <v>99.99997333333333</v>
      </c>
      <c r="D210" s="8">
        <v>100</v>
      </c>
      <c r="E210" s="10">
        <f t="shared" si="43"/>
        <v>-2.6666666670394079E-5</v>
      </c>
    </row>
    <row r="211" spans="1:5" x14ac:dyDescent="0.25">
      <c r="B211" s="3" t="s">
        <v>190</v>
      </c>
      <c r="C211" s="9">
        <f>[1]!AeroConvMilePerHrToKts(D203)</f>
        <v>59.248364330021559</v>
      </c>
      <c r="D211" s="8">
        <v>59.248380129589592</v>
      </c>
      <c r="E211" s="10">
        <f t="shared" si="43"/>
        <v>-2.6666666663276238E-5</v>
      </c>
    </row>
    <row r="212" spans="1:5" x14ac:dyDescent="0.25">
      <c r="B212" s="3" t="s">
        <v>191</v>
      </c>
      <c r="C212" s="9">
        <f>[1]!AeroConvMilePerHrToMeterPerSec(D203)</f>
        <v>30.479991871999999</v>
      </c>
      <c r="D212" s="8">
        <v>30.48</v>
      </c>
      <c r="E212" s="10">
        <f t="shared" si="43"/>
        <v>-2.6666666670114341E-5</v>
      </c>
    </row>
    <row r="213" spans="1:5" x14ac:dyDescent="0.25">
      <c r="B213" s="3" t="s">
        <v>192</v>
      </c>
      <c r="C213" s="9">
        <f>[1]!AeroConvMilePerHrToKmPerHr(D203)</f>
        <v>109.7279707392</v>
      </c>
      <c r="D213" s="8">
        <v>109.72799999999999</v>
      </c>
      <c r="E213" s="10">
        <f t="shared" si="43"/>
        <v>-2.6666666658458453E-5</v>
      </c>
    </row>
    <row r="214" spans="1:5" x14ac:dyDescent="0.25">
      <c r="B214" s="3" t="s">
        <v>184</v>
      </c>
      <c r="C214" s="9">
        <f>[1]!AeroConvMeterPerSecToFtPerSec(D204)</f>
        <v>100</v>
      </c>
      <c r="D214" s="8">
        <v>100</v>
      </c>
      <c r="E214" s="10">
        <f t="shared" si="43"/>
        <v>0</v>
      </c>
    </row>
    <row r="215" spans="1:5" x14ac:dyDescent="0.25">
      <c r="B215" s="3" t="s">
        <v>185</v>
      </c>
      <c r="C215" s="9">
        <f>[1]!AeroConvMeterPerSecToKts(D204)</f>
        <v>59.248380129589592</v>
      </c>
      <c r="D215" s="8">
        <v>59.248380129589592</v>
      </c>
      <c r="E215" s="10">
        <f t="shared" si="43"/>
        <v>0</v>
      </c>
    </row>
    <row r="216" spans="1:5" x14ac:dyDescent="0.25">
      <c r="B216" s="3" t="s">
        <v>189</v>
      </c>
      <c r="C216" s="9">
        <f>[1]!AeroConvMeterPerSecToMilePerHr(D204)</f>
        <v>68.181818181818187</v>
      </c>
      <c r="D216" s="8">
        <v>68.181799999999996</v>
      </c>
      <c r="E216" s="10">
        <f t="shared" si="43"/>
        <v>2.6666673791928385E-5</v>
      </c>
    </row>
    <row r="217" spans="1:5" x14ac:dyDescent="0.25">
      <c r="B217" s="3" t="s">
        <v>183</v>
      </c>
      <c r="C217" s="9">
        <f>[1]!AeroConvMeterPerSecToKmPerHr(D204)</f>
        <v>109.72799999999999</v>
      </c>
      <c r="D217" s="8">
        <v>109.72799999999999</v>
      </c>
      <c r="E217" s="10">
        <f t="shared" si="43"/>
        <v>0</v>
      </c>
    </row>
    <row r="218" spans="1:5" x14ac:dyDescent="0.25">
      <c r="B218" s="3" t="s">
        <v>174</v>
      </c>
      <c r="C218" s="9">
        <f>[1]!AeroConvKmPerHrToFtPerSec(D205)</f>
        <v>100</v>
      </c>
      <c r="D218" s="8">
        <v>100</v>
      </c>
      <c r="E218" s="10">
        <f t="shared" si="43"/>
        <v>0</v>
      </c>
    </row>
    <row r="219" spans="1:5" x14ac:dyDescent="0.25">
      <c r="B219" s="3" t="s">
        <v>173</v>
      </c>
      <c r="C219" s="9">
        <f>[1]!AeroConvKmPerHrToKts(D205)</f>
        <v>59.248380129589634</v>
      </c>
      <c r="D219" s="8">
        <v>59.248380129589592</v>
      </c>
      <c r="E219" s="10">
        <f t="shared" si="43"/>
        <v>7.1955661998452888E-14</v>
      </c>
    </row>
    <row r="220" spans="1:5" x14ac:dyDescent="0.25">
      <c r="B220" s="3" t="s">
        <v>194</v>
      </c>
      <c r="C220" s="9">
        <f>[1]!AeroConvKmPerHrToMilePerHr(D205)</f>
        <v>68.181818181818187</v>
      </c>
      <c r="D220" s="8">
        <v>68.181799999999996</v>
      </c>
      <c r="E220" s="10">
        <f t="shared" si="42"/>
        <v>2.6666673791928385E-5</v>
      </c>
    </row>
    <row r="221" spans="1:5" x14ac:dyDescent="0.25">
      <c r="B221" s="3" t="s">
        <v>186</v>
      </c>
      <c r="C221" s="9">
        <f>[1]!AeroConvKmPerHrToMeterPerSec(D205)</f>
        <v>30.48</v>
      </c>
      <c r="D221" s="8">
        <v>30.48</v>
      </c>
      <c r="E221" s="10">
        <f>(C221-D221)/D221*100</f>
        <v>0</v>
      </c>
    </row>
    <row r="222" spans="1:5" x14ac:dyDescent="0.25">
      <c r="A222" s="7" t="s">
        <v>161</v>
      </c>
    </row>
    <row r="223" spans="1:5" x14ac:dyDescent="0.25">
      <c r="A223" s="6">
        <v>45</v>
      </c>
    </row>
    <row r="224" spans="1:5" x14ac:dyDescent="0.25">
      <c r="B224" s="3" t="s">
        <v>148</v>
      </c>
      <c r="C224" s="9">
        <f>[1]!AeroConvDegToRad(A223)</f>
        <v>0.78539816339744828</v>
      </c>
      <c r="D224" s="8">
        <v>0.78539816339744828</v>
      </c>
      <c r="E224" s="10">
        <f t="shared" ref="E224:E225" si="44">(C224-D224)/D224*100</f>
        <v>0</v>
      </c>
    </row>
    <row r="225" spans="1:5" x14ac:dyDescent="0.25">
      <c r="B225" s="3" t="s">
        <v>149</v>
      </c>
      <c r="C225" s="9">
        <f>[1]!AeroConvRadToDeg(D224)</f>
        <v>45</v>
      </c>
      <c r="D225" s="8">
        <v>45</v>
      </c>
      <c r="E225" s="10">
        <f t="shared" si="44"/>
        <v>0</v>
      </c>
    </row>
    <row r="226" spans="1:5" x14ac:dyDescent="0.25">
      <c r="A226" s="7" t="s">
        <v>107</v>
      </c>
    </row>
    <row r="227" spans="1:5" x14ac:dyDescent="0.25">
      <c r="A227" s="6">
        <v>27.614699999999999</v>
      </c>
    </row>
    <row r="228" spans="1:5" x14ac:dyDescent="0.25">
      <c r="B228" s="3" t="s">
        <v>119</v>
      </c>
      <c r="C228" s="9">
        <f>[1]!AeroConvLbfPerFt2ToLbfPerInch2(D234)</f>
        <v>0.40051736160984092</v>
      </c>
      <c r="D228" s="8">
        <v>0.40051736160984092</v>
      </c>
      <c r="E228" s="10">
        <f t="shared" ref="E228:E239" si="45">(C228-D228)/D228*100</f>
        <v>0</v>
      </c>
    </row>
    <row r="229" spans="1:5" x14ac:dyDescent="0.25">
      <c r="B229" s="3" t="s">
        <v>118</v>
      </c>
      <c r="C229" s="9">
        <f>[1]!AeroConvLbfPerFt2ToInHg(D234)</f>
        <v>0.81546154325448139</v>
      </c>
      <c r="D229" s="8">
        <v>0.81546154325448139</v>
      </c>
      <c r="E229" s="10">
        <f t="shared" si="45"/>
        <v>0</v>
      </c>
    </row>
    <row r="230" spans="1:5" x14ac:dyDescent="0.25">
      <c r="B230" s="3" t="s">
        <v>117</v>
      </c>
      <c r="C230" s="9">
        <f>[1]!AeroConvLbfPerFt2ToHPa(D234)</f>
        <v>27.614699999999999</v>
      </c>
      <c r="D230" s="8">
        <f>A227</f>
        <v>27.614699999999999</v>
      </c>
      <c r="E230" s="10">
        <f t="shared" si="45"/>
        <v>0</v>
      </c>
    </row>
    <row r="231" spans="1:5" x14ac:dyDescent="0.25">
      <c r="B231" s="3" t="s">
        <v>122</v>
      </c>
      <c r="C231" s="9">
        <f>[1]!AeroConvLbfPerInch2ToLbfPerFt2(D228)</f>
        <v>57.674500071817093</v>
      </c>
      <c r="D231" s="8">
        <v>57.674500071817093</v>
      </c>
      <c r="E231" s="10">
        <f t="shared" si="45"/>
        <v>0</v>
      </c>
    </row>
    <row r="232" spans="1:5" x14ac:dyDescent="0.25">
      <c r="B232" s="3" t="s">
        <v>121</v>
      </c>
      <c r="C232" s="9">
        <f>[1]!AeroConvLbfPerInch2ToInHg(D228)</f>
        <v>0.81546154325448139</v>
      </c>
      <c r="D232" s="8">
        <v>0.81546154325448139</v>
      </c>
      <c r="E232" s="10">
        <f t="shared" si="45"/>
        <v>0</v>
      </c>
    </row>
    <row r="233" spans="1:5" x14ac:dyDescent="0.25">
      <c r="B233" s="3" t="s">
        <v>120</v>
      </c>
      <c r="C233" s="9">
        <f>[1]!AeroConvLbfPerInch2ToHPa(D228)</f>
        <v>27.614699999999999</v>
      </c>
      <c r="D233" s="8">
        <f>A227</f>
        <v>27.614699999999999</v>
      </c>
      <c r="E233" s="10">
        <f t="shared" si="45"/>
        <v>0</v>
      </c>
    </row>
    <row r="234" spans="1:5" x14ac:dyDescent="0.25">
      <c r="B234" s="3" t="s">
        <v>115</v>
      </c>
      <c r="C234" s="9">
        <f>[1]!AeroConvInHgToLbfPerFt2(D239)</f>
        <v>57.674500071817093</v>
      </c>
      <c r="D234" s="8">
        <v>57.674500071817093</v>
      </c>
      <c r="E234" s="10">
        <f t="shared" si="45"/>
        <v>0</v>
      </c>
    </row>
    <row r="235" spans="1:5" x14ac:dyDescent="0.25">
      <c r="B235" s="3" t="s">
        <v>116</v>
      </c>
      <c r="C235" s="9">
        <f>[1]!AeroConvInHgToLbfPerInch2(D239)</f>
        <v>0.40051736160984092</v>
      </c>
      <c r="D235" s="8">
        <v>0.40051736160984092</v>
      </c>
      <c r="E235" s="10">
        <f t="shared" si="45"/>
        <v>0</v>
      </c>
    </row>
    <row r="236" spans="1:5" x14ac:dyDescent="0.25">
      <c r="B236" s="3" t="s">
        <v>114</v>
      </c>
      <c r="C236" s="9">
        <f>[1]!AeroConvInHgToHPa(D239)</f>
        <v>27.614699999999999</v>
      </c>
      <c r="D236" s="8">
        <f>A227</f>
        <v>27.614699999999999</v>
      </c>
      <c r="E236" s="10">
        <f t="shared" si="45"/>
        <v>0</v>
      </c>
    </row>
    <row r="237" spans="1:5" x14ac:dyDescent="0.25">
      <c r="B237" s="3" t="s">
        <v>112</v>
      </c>
      <c r="C237" s="9">
        <f>[1]!AeroConvHPaToLbfPerFt2(A227)</f>
        <v>57.674500071817093</v>
      </c>
      <c r="D237" s="8">
        <v>57.674500071817093</v>
      </c>
      <c r="E237" s="10">
        <f t="shared" si="45"/>
        <v>0</v>
      </c>
    </row>
    <row r="238" spans="1:5" x14ac:dyDescent="0.25">
      <c r="B238" s="3" t="s">
        <v>113</v>
      </c>
      <c r="C238" s="9">
        <f>[1]!AeroConvHPaToLbfPerInch2(A227)</f>
        <v>0.40051736160984092</v>
      </c>
      <c r="D238" s="8">
        <v>0.40051736160984092</v>
      </c>
      <c r="E238" s="10">
        <f t="shared" si="45"/>
        <v>0</v>
      </c>
    </row>
    <row r="239" spans="1:5" x14ac:dyDescent="0.25">
      <c r="B239" s="3" t="s">
        <v>111</v>
      </c>
      <c r="C239" s="9">
        <f>[1]!AeroConvHPaToInHg(A227)</f>
        <v>0.81546154325448139</v>
      </c>
      <c r="D239" s="8">
        <v>0.81546154325448139</v>
      </c>
      <c r="E239" s="10">
        <f t="shared" si="45"/>
        <v>0</v>
      </c>
    </row>
    <row r="241" spans="1:5" x14ac:dyDescent="0.25">
      <c r="B241" s="3" t="s">
        <v>125</v>
      </c>
      <c r="C241" s="9">
        <f>[1]!AeroHp_ft_fPstaticLbPerFt2(D237)</f>
        <v>80000.036833259204</v>
      </c>
      <c r="D241" s="8">
        <v>80000.036833259204</v>
      </c>
      <c r="E241" s="10">
        <f>(C241-D241)/D241*100</f>
        <v>0</v>
      </c>
    </row>
    <row r="242" spans="1:5" x14ac:dyDescent="0.25">
      <c r="B242" s="3" t="s">
        <v>126</v>
      </c>
      <c r="C242" s="9">
        <f>[1]!AeroHp_ft_fPstaticLbPerInch2(D238)</f>
        <v>80000.036833259204</v>
      </c>
      <c r="D242" s="8">
        <v>80000.036833259204</v>
      </c>
      <c r="E242" s="10">
        <f>(C242-D242)/D242*100</f>
        <v>0</v>
      </c>
    </row>
    <row r="243" spans="1:5" x14ac:dyDescent="0.25">
      <c r="B243" s="3" t="s">
        <v>124</v>
      </c>
      <c r="C243" s="9">
        <f>[1]!AeroHp_ft_fPstaticInHg(D239)</f>
        <v>80000.036833259204</v>
      </c>
      <c r="D243" s="8">
        <v>80000.036833259204</v>
      </c>
      <c r="E243" s="10">
        <f>(C243-D243)/D243*100</f>
        <v>0</v>
      </c>
    </row>
    <row r="244" spans="1:5" x14ac:dyDescent="0.25">
      <c r="B244" s="3" t="s">
        <v>123</v>
      </c>
      <c r="C244" s="9">
        <f>[1]!AeroHp_ft_fPstaticHPa(A227)</f>
        <v>80000.036833259204</v>
      </c>
      <c r="D244" s="8">
        <v>80000.036833259204</v>
      </c>
      <c r="E244" s="10">
        <f>(C244-D244)/D244*100</f>
        <v>0</v>
      </c>
    </row>
    <row r="245" spans="1:5" x14ac:dyDescent="0.25">
      <c r="B245" s="3" t="s">
        <v>127</v>
      </c>
      <c r="C245" s="9">
        <f>[1]!AeroHp_ft_fQfeHPa(A227)</f>
        <v>80000.036833259204</v>
      </c>
      <c r="D245" s="8">
        <v>80000.036833259204</v>
      </c>
      <c r="E245" s="10">
        <f t="shared" ref="E245:E248" si="46">(C245-D245)/D245*100</f>
        <v>0</v>
      </c>
    </row>
    <row r="246" spans="1:5" x14ac:dyDescent="0.25">
      <c r="B246" s="3" t="s">
        <v>128</v>
      </c>
      <c r="C246" s="9">
        <f>[1]!AeroHp_ft_fQfeInHg(D239)</f>
        <v>80000.036833259204</v>
      </c>
      <c r="D246" s="8">
        <v>80000.036833259204</v>
      </c>
      <c r="E246" s="10">
        <f t="shared" si="46"/>
        <v>0</v>
      </c>
    </row>
    <row r="247" spans="1:5" x14ac:dyDescent="0.25">
      <c r="B247" s="3" t="s">
        <v>129</v>
      </c>
      <c r="C247" s="9">
        <f>[1]!AeroHp_ft_fQfeLbPerFt2(D237)</f>
        <v>80000.036833259204</v>
      </c>
      <c r="D247" s="8">
        <v>80000.036833259204</v>
      </c>
      <c r="E247" s="10">
        <f t="shared" si="46"/>
        <v>0</v>
      </c>
    </row>
    <row r="248" spans="1:5" x14ac:dyDescent="0.25">
      <c r="B248" s="3" t="s">
        <v>130</v>
      </c>
      <c r="C248" s="9">
        <f>[1]!AeroHp_ft_fQfeLbPerInch2(D238)</f>
        <v>80000.036833259204</v>
      </c>
      <c r="D248" s="8">
        <v>80000.036833259204</v>
      </c>
      <c r="E248" s="10">
        <f t="shared" si="46"/>
        <v>0</v>
      </c>
    </row>
    <row r="249" spans="1:5" x14ac:dyDescent="0.25">
      <c r="A249" s="7" t="s">
        <v>160</v>
      </c>
    </row>
    <row r="250" spans="1:5" x14ac:dyDescent="0.25">
      <c r="A250" s="6">
        <v>152</v>
      </c>
      <c r="B250" s="12" t="s">
        <v>99</v>
      </c>
      <c r="C250" s="16">
        <f>[1]!AeroConvFtPerNmToPctGrad(A250)</f>
        <v>2.5015982721382288</v>
      </c>
      <c r="D250" s="8">
        <v>2.5015982721382288</v>
      </c>
      <c r="E250" s="10">
        <f t="shared" ref="E250:E255" si="47">(C250-D250)/D250*100</f>
        <v>0</v>
      </c>
    </row>
    <row r="251" spans="1:5" x14ac:dyDescent="0.25">
      <c r="B251" s="12" t="s">
        <v>73</v>
      </c>
      <c r="C251" s="16">
        <f>[1]!AeroConvPctGradToFtPerNm(D250)</f>
        <v>152</v>
      </c>
      <c r="D251" s="8">
        <f>A250</f>
        <v>152</v>
      </c>
      <c r="E251" s="10">
        <f t="shared" si="47"/>
        <v>0</v>
      </c>
    </row>
    <row r="252" spans="1:5" x14ac:dyDescent="0.25">
      <c r="B252" s="12" t="s">
        <v>74</v>
      </c>
      <c r="C252" s="16">
        <f>[1]!AeroConvPctGradToDeg(D250)</f>
        <v>1.4330113542979013</v>
      </c>
      <c r="D252" s="8">
        <v>1.4330113542979013</v>
      </c>
      <c r="E252" s="10">
        <f t="shared" si="47"/>
        <v>0</v>
      </c>
    </row>
    <row r="253" spans="1:5" x14ac:dyDescent="0.25">
      <c r="B253" s="12" t="s">
        <v>75</v>
      </c>
      <c r="C253" s="16">
        <f>[1]!AeroConvDegToPctGrad(D252)</f>
        <v>2.5015982721382288</v>
      </c>
      <c r="D253" s="8">
        <v>2.5015982721382288</v>
      </c>
      <c r="E253" s="10">
        <f t="shared" si="47"/>
        <v>0</v>
      </c>
    </row>
    <row r="254" spans="1:5" x14ac:dyDescent="0.25">
      <c r="B254" s="12" t="s">
        <v>76</v>
      </c>
      <c r="C254" s="16">
        <f>[1]!AeroConvFtPerNmToDeg(A250)</f>
        <v>1.4330113542979013</v>
      </c>
      <c r="D254" s="8">
        <v>1.4330113542979013</v>
      </c>
      <c r="E254" s="10">
        <f t="shared" si="47"/>
        <v>0</v>
      </c>
    </row>
    <row r="255" spans="1:5" x14ac:dyDescent="0.25">
      <c r="B255" s="12" t="s">
        <v>77</v>
      </c>
      <c r="C255" s="16">
        <f>[1]!AeroConvDegToFtPerNm(D252)</f>
        <v>151.99999999999997</v>
      </c>
      <c r="D255" s="8">
        <f>A250</f>
        <v>152</v>
      </c>
      <c r="E255" s="10">
        <f t="shared" si="47"/>
        <v>-1.8698493046318424E-14</v>
      </c>
    </row>
    <row r="256" spans="1:5" x14ac:dyDescent="0.25">
      <c r="A256" s="7" t="s">
        <v>164</v>
      </c>
    </row>
    <row r="257" spans="1:5" x14ac:dyDescent="0.25">
      <c r="A257" s="6">
        <f>[1]!AeroRhoStdDay_SlugPerft3_fHp(0)</f>
        <v>2.37689240667515E-3</v>
      </c>
      <c r="B257" s="3" t="s">
        <v>165</v>
      </c>
      <c r="C257" s="9">
        <f>[1]!AeroConvSlugPerFt3ToKgPerMeter3(A257)</f>
        <v>1.2249999999999988</v>
      </c>
      <c r="D257" s="8">
        <v>1.2249999999999988</v>
      </c>
      <c r="E257" s="10">
        <f t="shared" ref="E257:E258" si="48">(C257-D257)/D257*100</f>
        <v>0</v>
      </c>
    </row>
    <row r="258" spans="1:5" x14ac:dyDescent="0.25">
      <c r="B258" s="3" t="s">
        <v>165</v>
      </c>
      <c r="C258" s="9">
        <f>[1]!AeroConvKgPerMeter3ToSlugPerFt3(D257)</f>
        <v>2.37689240667515E-3</v>
      </c>
      <c r="D258" s="8">
        <f>A257</f>
        <v>2.37689240667515E-3</v>
      </c>
      <c r="E258" s="10">
        <f t="shared" si="48"/>
        <v>0</v>
      </c>
    </row>
    <row r="259" spans="1:5" x14ac:dyDescent="0.25">
      <c r="A259" s="7" t="s">
        <v>217</v>
      </c>
    </row>
    <row r="260" spans="1:5" x14ac:dyDescent="0.25">
      <c r="A260" s="6">
        <v>1</v>
      </c>
      <c r="B260" s="12" t="s">
        <v>218</v>
      </c>
      <c r="C260" s="16">
        <f>[1]!AeroConvLbfToNewton(A260)</f>
        <v>4.4482216152604996</v>
      </c>
      <c r="D260" s="8">
        <v>4.4482216152604996</v>
      </c>
      <c r="E260" s="10">
        <f t="shared" ref="E260:E272" si="49">(C260-D260)/D260*100</f>
        <v>0</v>
      </c>
    </row>
    <row r="261" spans="1:5" x14ac:dyDescent="0.25">
      <c r="B261" s="12" t="s">
        <v>219</v>
      </c>
      <c r="C261" s="16">
        <f>[1]!AeroConvLbfToKiloNewton(A260)</f>
        <v>4.4482216152604993E-3</v>
      </c>
      <c r="D261" s="8">
        <f>D260/1000</f>
        <v>4.4482216152604993E-3</v>
      </c>
      <c r="E261" s="10">
        <f t="shared" si="49"/>
        <v>0</v>
      </c>
    </row>
    <row r="262" spans="1:5" x14ac:dyDescent="0.25">
      <c r="B262" s="12" t="s">
        <v>220</v>
      </c>
      <c r="C262" s="16">
        <f>[1]!AeroConvNewtonToLbf(D260)</f>
        <v>1</v>
      </c>
      <c r="D262" s="8">
        <v>1</v>
      </c>
      <c r="E262" s="10">
        <f t="shared" si="49"/>
        <v>0</v>
      </c>
    </row>
    <row r="263" spans="1:5" x14ac:dyDescent="0.25">
      <c r="B263" s="12" t="s">
        <v>221</v>
      </c>
      <c r="C263" s="16">
        <f>[1]!AeroConvNewtonToKiloNewton(D260)</f>
        <v>4.4482216152604993E-3</v>
      </c>
      <c r="D263" s="8">
        <f>D261</f>
        <v>4.4482216152604993E-3</v>
      </c>
      <c r="E263" s="10">
        <f t="shared" si="49"/>
        <v>0</v>
      </c>
    </row>
    <row r="264" spans="1:5" x14ac:dyDescent="0.25">
      <c r="B264" s="12" t="s">
        <v>222</v>
      </c>
      <c r="C264" s="16">
        <f>[1]!AeroConvKiloNewtonToLbf(D261)</f>
        <v>1</v>
      </c>
      <c r="D264" s="8">
        <v>1</v>
      </c>
      <c r="E264" s="10">
        <f t="shared" si="49"/>
        <v>0</v>
      </c>
    </row>
    <row r="265" spans="1:5" x14ac:dyDescent="0.25">
      <c r="B265" s="12" t="s">
        <v>223</v>
      </c>
      <c r="C265" s="16">
        <f>[1]!AeroConvKiloNewtonToNewton(D261)</f>
        <v>4.4482216152604996</v>
      </c>
      <c r="D265" s="8">
        <f>D260</f>
        <v>4.4482216152604996</v>
      </c>
      <c r="E265" s="10">
        <f t="shared" si="49"/>
        <v>0</v>
      </c>
    </row>
    <row r="266" spans="1:5" x14ac:dyDescent="0.25">
      <c r="A266" s="7" t="s">
        <v>224</v>
      </c>
    </row>
    <row r="267" spans="1:5" x14ac:dyDescent="0.25">
      <c r="A267" s="6">
        <v>1</v>
      </c>
      <c r="B267" s="12" t="s">
        <v>225</v>
      </c>
      <c r="C267" s="16">
        <f>[1]!AeroConvLbfFtToLbfInch(A267)</f>
        <v>12</v>
      </c>
      <c r="D267" s="8">
        <v>12</v>
      </c>
      <c r="E267" s="10">
        <f t="shared" si="49"/>
        <v>0</v>
      </c>
    </row>
    <row r="268" spans="1:5" x14ac:dyDescent="0.25">
      <c r="B268" s="12" t="s">
        <v>226</v>
      </c>
      <c r="C268" s="16">
        <f>[1]!AeroConvLbfFtToNewtonMeter(A267)</f>
        <v>1.3558179483314003</v>
      </c>
      <c r="D268" s="8">
        <f>A267*D260*0.3048</f>
        <v>1.3558179483314003</v>
      </c>
      <c r="E268" s="10">
        <f t="shared" si="49"/>
        <v>0</v>
      </c>
    </row>
    <row r="269" spans="1:5" x14ac:dyDescent="0.25">
      <c r="B269" s="12" t="s">
        <v>227</v>
      </c>
      <c r="C269" s="16">
        <f>[1]!AeroConvLbfInchToLbfFt(D267)</f>
        <v>1</v>
      </c>
      <c r="D269" s="8">
        <f>A267</f>
        <v>1</v>
      </c>
      <c r="E269" s="10">
        <f t="shared" si="49"/>
        <v>0</v>
      </c>
    </row>
    <row r="270" spans="1:5" x14ac:dyDescent="0.25">
      <c r="B270" s="12" t="s">
        <v>228</v>
      </c>
      <c r="C270" s="16">
        <f>[1]!AeroConvLbfInchToNewtonMeter(D267)</f>
        <v>1.3558179483314003</v>
      </c>
      <c r="D270" s="8">
        <f>D268</f>
        <v>1.3558179483314003</v>
      </c>
      <c r="E270" s="10">
        <f t="shared" si="49"/>
        <v>0</v>
      </c>
    </row>
    <row r="271" spans="1:5" x14ac:dyDescent="0.25">
      <c r="B271" s="12" t="s">
        <v>229</v>
      </c>
      <c r="C271" s="16">
        <f>[1]!AeroConvNewtonMeterToLbfFt(D268)</f>
        <v>1</v>
      </c>
      <c r="D271" s="8">
        <f>A267</f>
        <v>1</v>
      </c>
      <c r="E271" s="10">
        <f t="shared" si="49"/>
        <v>0</v>
      </c>
    </row>
    <row r="272" spans="1:5" x14ac:dyDescent="0.25">
      <c r="B272" s="12" t="s">
        <v>230</v>
      </c>
      <c r="C272" s="16">
        <f>[1]!AeroConvNewtonMeterToLbfInch(D268)</f>
        <v>12</v>
      </c>
      <c r="D272" s="8">
        <f>D267</f>
        <v>12</v>
      </c>
      <c r="E272" s="10">
        <f t="shared" si="49"/>
        <v>0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2019-04-23T07:05:48Z</dcterms:modified>
</cp:coreProperties>
</file>